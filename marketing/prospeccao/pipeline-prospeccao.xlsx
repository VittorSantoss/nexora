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ipeline" sheetId="2" state="visible" r:id="rId4"/>
  </sheets>
  <definedNames>
    <definedName function="false" hidden="true" localSheetId="1" name="_xlnm._FilterDatabase" vbProcedure="false">Pipeline!$A$1:$N$1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<sst xmlns="http://schemas.openxmlformats.org/spreadsheetml/2006/main" count="343" uniqueCount="174">
  <si>
    <t xml:space="preserve">Pipeline de Prospecção — Nexora</t>
  </si>
  <si>
    <t xml:space="preserve">Advocacia · Boituva e São Roque · atualizado 26/08/2026</t>
  </si>
  <si>
    <t xml:space="preserve">Como usar</t>
  </si>
  <si>
    <t xml:space="preserve">1. Toda manhã, abra a aba "Pipeline" e olhe a coluna Ação.</t>
  </si>
  <si>
    <t xml:space="preserve">2. Linhas em vermelho ("TOCAR HOJE") são prioridade — manda a mensagem certa (ver abordagem.md na skill /prospectar) e depois atualiza Toque atual e Data último toque.</t>
  </si>
  <si>
    <t xml:space="preserve">3. Linhas em amarelo ("Vence em breve") são as próximas 2 dias — dá pra ignorar hoje.</t>
  </si>
  <si>
    <t xml:space="preserve">4. Linhas em azul ("Abordar (novo lead)") ainda não foram tocadas — puxe daqui pra escolher quem abordar (limite de 10-15 toque-1 novos por dia).</t>
  </si>
  <si>
    <t xml:space="preserve">Só 3 colunas você edita:</t>
  </si>
  <si>
    <t xml:space="preserve">• Toque atual (H) — número de 1 a 4, qual foi o último toque que você mandou. Deixe 0 se ainda não abordou.</t>
  </si>
  <si>
    <t xml:space="preserve">• Data último toque (I) — data em que mandou esse toque. As colunas J, K, L, M calculam sozinhas a partir daqui.</t>
  </si>
  <si>
    <t xml:space="preserve">• Status (N) — preencha só quando o lead sair do fluxo normal: "respondeu", "fechou", "sem interesse", "pausado até dd/mm". Quando essa coluna tem texto, a coluna Ação fica em branco — você já sabe o que fazer com esse lead.</t>
  </si>
  <si>
    <t xml:space="preserve">Cadência (referência)</t>
  </si>
  <si>
    <t xml:space="preserve">Toque 1 → Toque 2: 4 dias depois, mesmo canal (WhatsApp)</t>
  </si>
  <si>
    <t xml:space="preserve">Toque 2 → Toque 3: mais 4 dias, TROCAR de canal (Instagram/ligação — ver coluna Rede social conhecida)</t>
  </si>
  <si>
    <t xml:space="preserve">Toque 3 → Toque 4: mais 5 dias, mensagem de fechamento educado</t>
  </si>
  <si>
    <t xml:space="preserve">Depois do Toque 4 sem resposta: marcar Status = "pausado até" + data 60-90 dias à frente. Nunca "perdido" — silêncio não é definitivo.</t>
  </si>
  <si>
    <t xml:space="preserve">Limite diário</t>
  </si>
  <si>
    <t xml:space="preserve">Máximo 10-15 primeiros contatos (Toque 1) novos por dia. Os follow-ups que vencem no dia entram nesse mesmo lote — não são adicionais.</t>
  </si>
  <si>
    <t xml:space="preserve">Detalhe completo do processo: marketing/prospeccao/cadencia-follow-up.md</t>
  </si>
  <si>
    <t xml:space="preserve">Cidade</t>
  </si>
  <si>
    <t xml:space="preserve">Escritório</t>
  </si>
  <si>
    <t xml:space="preserve">Tier</t>
  </si>
  <si>
    <t xml:space="preserve">Nota</t>
  </si>
  <si>
    <t xml:space="preserve">Avaliações</t>
  </si>
  <si>
    <t xml:space="preserve">Telefone</t>
  </si>
  <si>
    <t xml:space="preserve">Rede social conhecida</t>
  </si>
  <si>
    <t xml:space="preserve">Toque atual (0-4)</t>
  </si>
  <si>
    <t xml:space="preserve">Data último toque</t>
  </si>
  <si>
    <t xml:space="preserve">Intervalo próx. toque (dias)</t>
  </si>
  <si>
    <t xml:space="preserve">Próximo toque previsto</t>
  </si>
  <si>
    <t xml:space="preserve">Dias até próximo toque</t>
  </si>
  <si>
    <t xml:space="preserve">Ação</t>
  </si>
  <si>
    <t xml:space="preserve">Status / observação</t>
  </si>
  <si>
    <t xml:space="preserve">Boituva</t>
  </si>
  <si>
    <t xml:space="preserve">Dr. Alex Barbosa — Advogado</t>
  </si>
  <si>
    <t xml:space="preserve">A</t>
  </si>
  <si>
    <t xml:space="preserve">(15) 99757-4928</t>
  </si>
  <si>
    <t xml:space="preserve">verificar</t>
  </si>
  <si>
    <t xml:space="preserve">proposta enviada 16/08 — ver propostas/alex-barbosa</t>
  </si>
  <si>
    <t xml:space="preserve">Favoretti Advogados Associados</t>
  </si>
  <si>
    <t xml:space="preserve">(15) 99731-4011</t>
  </si>
  <si>
    <t xml:space="preserve">Felipe Fogaça — Criminalista</t>
  </si>
  <si>
    <t xml:space="preserve">(15) 99606-6874</t>
  </si>
  <si>
    <t xml:space="preserve">Januario &amp; Silva Advogados Associados</t>
  </si>
  <si>
    <t xml:space="preserve">(15) 99131-7670</t>
  </si>
  <si>
    <t xml:space="preserve">Carducci &amp; Advogados</t>
  </si>
  <si>
    <t xml:space="preserve">(15) 3263-5331</t>
  </si>
  <si>
    <t xml:space="preserve">Ana Paula Sanches Correia</t>
  </si>
  <si>
    <t xml:space="preserve">(15) 99618-6337</t>
  </si>
  <si>
    <t xml:space="preserve">Dr. Jonatas Barbosa — Advogado</t>
  </si>
  <si>
    <t xml:space="preserve">(15) 99757-1278</t>
  </si>
  <si>
    <t xml:space="preserve">Advocacia Silvano de Barros Beserra</t>
  </si>
  <si>
    <t xml:space="preserve">(15) 3268-7156</t>
  </si>
  <si>
    <t xml:space="preserve">Silva &amp; Mendes Advocacia e Assessoria</t>
  </si>
  <si>
    <t xml:space="preserve">(15) 99118-3620</t>
  </si>
  <si>
    <t xml:space="preserve">Dr. Oscar M. Vieira</t>
  </si>
  <si>
    <t xml:space="preserve">(15) 99150-3080</t>
  </si>
  <si>
    <t xml:space="preserve">⚠️ confirmar se é sócio de Vieira &amp; Marques (já tem site) antes de abordar</t>
  </si>
  <si>
    <t xml:space="preserve">Advogada Julia Fernandes</t>
  </si>
  <si>
    <t xml:space="preserve">(15) 99119-4458</t>
  </si>
  <si>
    <t xml:space="preserve">Instagram</t>
  </si>
  <si>
    <t xml:space="preserve">Elisângela Paz Advogada</t>
  </si>
  <si>
    <t xml:space="preserve">B</t>
  </si>
  <si>
    <t xml:space="preserve">(15) 99122-7928</t>
  </si>
  <si>
    <t xml:space="preserve">fechou 19/08 — cliente, ver clientes/Elisangela-Paz</t>
  </si>
  <si>
    <t xml:space="preserve">Martins Bazoli Advocacia</t>
  </si>
  <si>
    <t xml:space="preserve">(11) 99786-8506</t>
  </si>
  <si>
    <t xml:space="preserve">Andrezza Andrade Advocacia</t>
  </si>
  <si>
    <t xml:space="preserve">sem telefone — verificar Facebook</t>
  </si>
  <si>
    <t xml:space="preserve">Facebook</t>
  </si>
  <si>
    <t xml:space="preserve">Advocacia Carvalho Sousa (Dra. Karla)</t>
  </si>
  <si>
    <t xml:space="preserve">(15) 99191-1825</t>
  </si>
  <si>
    <t xml:space="preserve">Bond &amp; Silva Advocacia Especializada</t>
  </si>
  <si>
    <t xml:space="preserve">(11) 95023-4124</t>
  </si>
  <si>
    <t xml:space="preserve">Vera Sonego</t>
  </si>
  <si>
    <t xml:space="preserve">(15) 99749-2447</t>
  </si>
  <si>
    <t xml:space="preserve">Fernandes | Mioni Sociedade de Advogados</t>
  </si>
  <si>
    <t xml:space="preserve">(15) 3268-1778</t>
  </si>
  <si>
    <t xml:space="preserve">Gianotti &amp; Francisco Advogados</t>
  </si>
  <si>
    <t xml:space="preserve">(15) 3268-7112</t>
  </si>
  <si>
    <t xml:space="preserve">Anderson Luiz Candido — Advocacia Candido</t>
  </si>
  <si>
    <t xml:space="preserve">(15) 99664-0678</t>
  </si>
  <si>
    <t xml:space="preserve">Ramos &amp; Domingues Advocacia</t>
  </si>
  <si>
    <t xml:space="preserve">C</t>
  </si>
  <si>
    <t xml:space="preserve">(15) 99161-4444</t>
  </si>
  <si>
    <t xml:space="preserve">site HTTP sem SSL</t>
  </si>
  <si>
    <t xml:space="preserve">Roberto Tadashi Yokotoby Advocacia</t>
  </si>
  <si>
    <t xml:space="preserve">(15) 3263-4771</t>
  </si>
  <si>
    <t xml:space="preserve">Vaccari Advocacia</t>
  </si>
  <si>
    <t xml:space="preserve">(11) 98536-3919</t>
  </si>
  <si>
    <t xml:space="preserve">só LP de campanha</t>
  </si>
  <si>
    <t xml:space="preserve">Chagas Garcia Advocacia</t>
  </si>
  <si>
    <t xml:space="preserve">(15) 99633-4628</t>
  </si>
  <si>
    <t xml:space="preserve">subdomínio grátis (Lovable)</t>
  </si>
  <si>
    <t xml:space="preserve">Jorge Brancaccio Advocacia</t>
  </si>
  <si>
    <t xml:space="preserve">(15) 3263-2547</t>
  </si>
  <si>
    <t xml:space="preserve">subdomínio Wix</t>
  </si>
  <si>
    <t xml:space="preserve">Edilene Souza Bentivoglio Sociedade Individual de Advocacia</t>
  </si>
  <si>
    <t xml:space="preserve">(15) 99104-0507</t>
  </si>
  <si>
    <t xml:space="preserve">subdomínio plataforma Jusfy</t>
  </si>
  <si>
    <t xml:space="preserve">Dra. Ligia Santos Advogada Cível e Previdenciária</t>
  </si>
  <si>
    <t xml:space="preserve">(15) 99801-6209</t>
  </si>
  <si>
    <t xml:space="preserve">subdomínio Canva Site — confirmar se atende Boituva</t>
  </si>
  <si>
    <t xml:space="preserve">Dra. Lilian Franci Advocacia</t>
  </si>
  <si>
    <t xml:space="preserve">D</t>
  </si>
  <si>
    <t xml:space="preserve">(15) 99693-1343</t>
  </si>
  <si>
    <t xml:space="preserve">anúncio Google, fora de Boituva</t>
  </si>
  <si>
    <t xml:space="preserve">Borges Gonzalez Advocacia Empresarial</t>
  </si>
  <si>
    <t xml:space="preserve">(15) 99684-9459</t>
  </si>
  <si>
    <t xml:space="preserve">Advocacia Burani</t>
  </si>
  <si>
    <t xml:space="preserve">(15) 99837-6386</t>
  </si>
  <si>
    <t xml:space="preserve">anúncio Google</t>
  </si>
  <si>
    <t xml:space="preserve">São Roque</t>
  </si>
  <si>
    <t xml:space="preserve">Dayani Cardoso Advocacia</t>
  </si>
  <si>
    <t xml:space="preserve">(11) 95315-0711</t>
  </si>
  <si>
    <t xml:space="preserve">Rolim Advogados</t>
  </si>
  <si>
    <t xml:space="preserve">(11) 99987-6770</t>
  </si>
  <si>
    <t xml:space="preserve">Aniano Júnior Advocacia</t>
  </si>
  <si>
    <t xml:space="preserve">(11) 99777-6486</t>
  </si>
  <si>
    <t xml:space="preserve">Facebook/Instagram</t>
  </si>
  <si>
    <t xml:space="preserve">Claudia Ghissardi Advocacia</t>
  </si>
  <si>
    <t xml:space="preserve">(11) 97512-9156</t>
  </si>
  <si>
    <t xml:space="preserve">LM Advocacia</t>
  </si>
  <si>
    <t xml:space="preserve">(11) 2550-9132</t>
  </si>
  <si>
    <t xml:space="preserve">G • Cerqueira Advocacia</t>
  </si>
  <si>
    <t xml:space="preserve">(11) 99875-4797</t>
  </si>
  <si>
    <t xml:space="preserve">Bruna Costa Advocacia</t>
  </si>
  <si>
    <t xml:space="preserve">(11) 91011-1176</t>
  </si>
  <si>
    <t xml:space="preserve">Cardoso &amp; Salim Advogados</t>
  </si>
  <si>
    <t xml:space="preserve">(11) 2222-2251</t>
  </si>
  <si>
    <t xml:space="preserve">Advocacia Bianchi</t>
  </si>
  <si>
    <t xml:space="preserve">(11) 4712-2743</t>
  </si>
  <si>
    <t xml:space="preserve">Budemberg Advocacia Criminal</t>
  </si>
  <si>
    <t xml:space="preserve">(11) 97267-2851</t>
  </si>
  <si>
    <t xml:space="preserve">Ferreira Leite Advocacia</t>
  </si>
  <si>
    <t xml:space="preserve">(15) 99704-1160</t>
  </si>
  <si>
    <t xml:space="preserve">subdomínio grátis (Manus)</t>
  </si>
  <si>
    <t xml:space="preserve">Lucas Cardial Advogado</t>
  </si>
  <si>
    <t xml:space="preserve">(11) 97566-0624</t>
  </si>
  <si>
    <t xml:space="preserve">só rede social, sem site</t>
  </si>
  <si>
    <t xml:space="preserve">Oliveira &amp; Félix Advogados</t>
  </si>
  <si>
    <t xml:space="preserve">(11) 95020-2858</t>
  </si>
  <si>
    <t xml:space="preserve">Flavia Bernacchi Advocacia</t>
  </si>
  <si>
    <t xml:space="preserve">(11) 97630-6219</t>
  </si>
  <si>
    <t xml:space="preserve">subdomínio genérico</t>
  </si>
  <si>
    <t xml:space="preserve">Advocacia Papa</t>
  </si>
  <si>
    <t xml:space="preserve">(11) 98259-0234</t>
  </si>
  <si>
    <t xml:space="preserve">subdomínio grátis (Ueni)</t>
  </si>
  <si>
    <t xml:space="preserve">Dra Sandra Mendes Advogada</t>
  </si>
  <si>
    <t xml:space="preserve">(11) 94472-8256</t>
  </si>
  <si>
    <t xml:space="preserve">Gonçalves e Alves - Sociedade de Advogados</t>
  </si>
  <si>
    <t xml:space="preserve">(11) 4712-3066</t>
  </si>
  <si>
    <t xml:space="preserve">Ornelas da Costa Advogados Associados</t>
  </si>
  <si>
    <t xml:space="preserve">(11) 95358-5758</t>
  </si>
  <si>
    <t xml:space="preserve">subdomínio plataforma</t>
  </si>
  <si>
    <t xml:space="preserve">Góes &amp; Di Girolamo Advogados</t>
  </si>
  <si>
    <t xml:space="preserve">(11) 96390-5459</t>
  </si>
  <si>
    <t xml:space="preserve">página única, sem domínio próprio</t>
  </si>
  <si>
    <t xml:space="preserve">M.Forace Sociedade de Advogados</t>
  </si>
  <si>
    <t xml:space="preserve">(11) 4712-1928</t>
  </si>
  <si>
    <t xml:space="preserve">Martins Sociedade de Advogados</t>
  </si>
  <si>
    <t xml:space="preserve">(11) 4712-9164</t>
  </si>
  <si>
    <t xml:space="preserve">Advocacia Almeida</t>
  </si>
  <si>
    <t xml:space="preserve">(11) 97424-7534</t>
  </si>
  <si>
    <t xml:space="preserve">Google Sites</t>
  </si>
  <si>
    <t xml:space="preserve">Orita Advogados</t>
  </si>
  <si>
    <t xml:space="preserve">(11) 4712-8600</t>
  </si>
  <si>
    <t xml:space="preserve">Dra. Karen Lessa - Lessa Sociedade Individual de Advocacia</t>
  </si>
  <si>
    <t xml:space="preserve">(11) 93085-5915</t>
  </si>
  <si>
    <t xml:space="preserve">ZANOLLI RAIMONDI ADVOGADOS ASSOCIADOS</t>
  </si>
  <si>
    <t xml:space="preserve">(11) 4712-9523</t>
  </si>
  <si>
    <t xml:space="preserve">Advocacia Mascarenhas</t>
  </si>
  <si>
    <t xml:space="preserve">(15) 99127-6941</t>
  </si>
  <si>
    <t xml:space="preserve">anúncio Google, sem site próprio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</si>
</sst>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7CC"/>
        <bgColor rgb="FFFDEDA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CB"/>
        </patternFill>
      </fill>
    </dxf>
    <dxf>
      <fill>
        <patternFill>
          <bgColor rgb="FFFDEDA9"/>
        </patternFill>
      </fill>
    </dxf>
    <dxf>
      <fill>
        <patternFill>
          <bgColor rgb="FFD6E6F7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D6E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DA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</row>
    <row r="7" customFormat="false" ht="27.75" hidden="false" customHeight="true" outlineLevel="0" collapsed="false">
      <c r="B7" s="4" t="s">
        <v>4</v>
      </c>
    </row>
    <row r="8" customFormat="false" ht="27.75" hidden="false" customHeight="true" outlineLevel="0" collapsed="false">
      <c r="B8" s="4" t="s">
        <v>5</v>
      </c>
    </row>
    <row r="9" customFormat="false" ht="27.75" hidden="false" customHeight="tru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27.75" hidden="false" customHeight="true" outlineLevel="0" collapsed="false">
      <c r="B12" s="4" t="s">
        <v>8</v>
      </c>
    </row>
    <row r="13" customFormat="false" ht="27.75" hidden="false" customHeight="true" outlineLevel="0" collapsed="false">
      <c r="B13" s="4" t="s">
        <v>9</v>
      </c>
    </row>
    <row r="14" customFormat="false" ht="27.75" hidden="false" customHeight="true" outlineLevel="0" collapsed="false">
      <c r="B14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27.75" hidden="false" customHeight="true" outlineLevel="0" collapsed="false">
      <c r="B17" s="4" t="s">
        <v>12</v>
      </c>
    </row>
    <row r="18" customFormat="false" ht="27.75" hidden="false" customHeight="true" outlineLevel="0" collapsed="false">
      <c r="B18" s="4" t="s">
        <v>13</v>
      </c>
    </row>
    <row r="19" customFormat="false" ht="27.75" hidden="false" customHeight="true" outlineLevel="0" collapsed="false">
      <c r="B19" s="4" t="s">
        <v>14</v>
      </c>
    </row>
    <row r="20" customFormat="false" ht="27.75" hidden="false" customHeight="true" outlineLevel="0" collapsed="false">
      <c r="B20" s="4" t="s">
        <v>15</v>
      </c>
    </row>
    <row r="22" customFormat="false" ht="15" hidden="false" customHeight="false" outlineLevel="0" collapsed="false">
      <c r="B22" s="3" t="s">
        <v>16</v>
      </c>
    </row>
    <row r="23" customFormat="false" ht="27.75" hidden="false" customHeight="true" outlineLevel="0" collapsed="false">
      <c r="B23" s="4" t="s">
        <v>17</v>
      </c>
    </row>
    <row r="25" customFormat="false" ht="15" hidden="false" customHeight="false" outlineLevel="0" collapsed="false">
      <c r="B25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42"/>
  </cols>
  <sheetData>
    <row r="1" customFormat="false" ht="33.7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</row>
    <row r="2" customFormat="false" ht="15" hidden="false" customHeight="false" outlineLevel="0" collapsed="false">
      <c r="A2" s="7" t="s">
        <v>33</v>
      </c>
      <c r="B2" s="7" t="s">
        <v>34</v>
      </c>
      <c r="C2" s="7" t="s">
        <v>35</v>
      </c>
      <c r="D2" s="8" t="n">
        <v>5</v>
      </c>
      <c r="E2" s="7" t="n">
        <v>63</v>
      </c>
      <c r="F2" s="7" t="s">
        <v>36</v>
      </c>
      <c r="G2" s="7" t="s">
        <v>37</v>
      </c>
      <c r="H2" s="9" t="n">
        <v>0</v>
      </c>
      <c r="I2" s="10"/>
      <c r="J2" s="7" t="str">
        <f aca="false">IF(H2=1,4,IF(H2=2,4,IF(H2=3,5,"")))</f>
        <v/>
      </c>
      <c r="K2" s="11" t="str">
        <f aca="false">IF(OR(H2=0,H2=4,J2=""),"",I2+J2)</f>
        <v/>
      </c>
      <c r="L2" s="7" t="str">
        <f aca="true">IF(K2="","",K2-TODAY())</f>
        <v/>
      </c>
      <c r="M2" s="7" t="str">
        <f aca="false">IF(N2&lt;&gt;"","",IF(H2=0,"Abordar (novo lead)",IF(H2=4,"Ciclo completo — decidir",IF(L2&lt;=0,"TOCAR HOJE",IF(L2&lt;=2,"Vence em breve","Aguardando")))))</f>
        <v/>
      </c>
      <c r="N2" s="9" t="s">
        <v>38</v>
      </c>
    </row>
    <row r="3" customFormat="false" ht="15" hidden="false" customHeight="false" outlineLevel="0" collapsed="false">
      <c r="A3" s="7" t="s">
        <v>33</v>
      </c>
      <c r="B3" s="7" t="s">
        <v>39</v>
      </c>
      <c r="C3" s="7" t="s">
        <v>35</v>
      </c>
      <c r="D3" s="8" t="n">
        <v>5</v>
      </c>
      <c r="E3" s="7" t="n">
        <v>50</v>
      </c>
      <c r="F3" s="7" t="s">
        <v>40</v>
      </c>
      <c r="G3" s="7" t="s">
        <v>37</v>
      </c>
      <c r="H3" s="9" t="n">
        <v>0</v>
      </c>
      <c r="I3" s="10"/>
      <c r="J3" s="7" t="str">
        <f aca="false">IF(H3=1,4,IF(H3=2,4,IF(H3=3,5,"")))</f>
        <v/>
      </c>
      <c r="K3" s="11" t="str">
        <f aca="false">IF(OR(H3=0,H3=4,J3=""),"",I3+J3)</f>
        <v/>
      </c>
      <c r="L3" s="7" t="str">
        <f aca="true">IF(K3="","",K3-TODAY())</f>
        <v/>
      </c>
      <c r="M3" s="7" t="str">
        <f aca="false">IF(N3&lt;&gt;"","",IF(H3=0,"Abordar (novo lead)",IF(H3=4,"Ciclo completo — decidir",IF(L3&lt;=0,"TOCAR HOJE",IF(L3&lt;=2,"Vence em breve","Aguardando")))))</f>
        <v>Abordar (novo lead)</v>
      </c>
      <c r="N3" s="9"/>
    </row>
    <row r="4" customFormat="false" ht="15" hidden="false" customHeight="false" outlineLevel="0" collapsed="false">
      <c r="A4" s="7" t="s">
        <v>33</v>
      </c>
      <c r="B4" s="7" t="s">
        <v>41</v>
      </c>
      <c r="C4" s="7" t="s">
        <v>35</v>
      </c>
      <c r="D4" s="8" t="n">
        <v>5</v>
      </c>
      <c r="E4" s="7" t="n">
        <v>27</v>
      </c>
      <c r="F4" s="7" t="s">
        <v>42</v>
      </c>
      <c r="G4" s="7" t="s">
        <v>37</v>
      </c>
      <c r="H4" s="9" t="n">
        <v>0</v>
      </c>
      <c r="I4" s="10"/>
      <c r="J4" s="7" t="str">
        <f aca="false">IF(H4=1,4,IF(H4=2,4,IF(H4=3,5,"")))</f>
        <v/>
      </c>
      <c r="K4" s="11" t="str">
        <f aca="false">IF(OR(H4=0,H4=4,J4=""),"",I4+J4)</f>
        <v/>
      </c>
      <c r="L4" s="7" t="str">
        <f aca="true">IF(K4="","",K4-TODAY())</f>
        <v/>
      </c>
      <c r="M4" s="7" t="str">
        <f aca="false">IF(N4&lt;&gt;"","",IF(H4=0,"Abordar (novo lead)",IF(H4=4,"Ciclo completo — decidir",IF(L4&lt;=0,"TOCAR HOJE",IF(L4&lt;=2,"Vence em breve","Aguardando")))))</f>
        <v>Abordar (novo lead)</v>
      </c>
      <c r="N4" s="9"/>
    </row>
    <row r="5" customFormat="false" ht="15" hidden="false" customHeight="false" outlineLevel="0" collapsed="false">
      <c r="A5" s="7" t="s">
        <v>33</v>
      </c>
      <c r="B5" s="7" t="s">
        <v>43</v>
      </c>
      <c r="C5" s="7" t="s">
        <v>35</v>
      </c>
      <c r="D5" s="8" t="n">
        <v>5</v>
      </c>
      <c r="E5" s="7" t="n">
        <v>21</v>
      </c>
      <c r="F5" s="7" t="s">
        <v>44</v>
      </c>
      <c r="G5" s="7" t="s">
        <v>37</v>
      </c>
      <c r="H5" s="9" t="n">
        <v>0</v>
      </c>
      <c r="I5" s="10"/>
      <c r="J5" s="7" t="str">
        <f aca="false">IF(H5=1,4,IF(H5=2,4,IF(H5=3,5,"")))</f>
        <v/>
      </c>
      <c r="K5" s="11" t="str">
        <f aca="false">IF(OR(H5=0,H5=4,J5=""),"",I5+J5)</f>
        <v/>
      </c>
      <c r="L5" s="7" t="str">
        <f aca="true">IF(K5="","",K5-TODAY())</f>
        <v/>
      </c>
      <c r="M5" s="7" t="str">
        <f aca="false">IF(N5&lt;&gt;"","",IF(H5=0,"Abordar (novo lead)",IF(H5=4,"Ciclo completo — decidir",IF(L5&lt;=0,"TOCAR HOJE",IF(L5&lt;=2,"Vence em breve","Aguardando")))))</f>
        <v>Abordar (novo lead)</v>
      </c>
      <c r="N5" s="9"/>
    </row>
    <row r="6" customFormat="false" ht="15" hidden="false" customHeight="false" outlineLevel="0" collapsed="false">
      <c r="A6" s="7" t="s">
        <v>33</v>
      </c>
      <c r="B6" s="7" t="s">
        <v>45</v>
      </c>
      <c r="C6" s="7" t="s">
        <v>35</v>
      </c>
      <c r="D6" s="8" t="n">
        <v>5</v>
      </c>
      <c r="E6" s="7" t="n">
        <v>17</v>
      </c>
      <c r="F6" s="7" t="s">
        <v>46</v>
      </c>
      <c r="G6" s="7" t="s">
        <v>37</v>
      </c>
      <c r="H6" s="9" t="n">
        <v>0</v>
      </c>
      <c r="I6" s="10"/>
      <c r="J6" s="7" t="str">
        <f aca="false">IF(H6=1,4,IF(H6=2,4,IF(H6=3,5,"")))</f>
        <v/>
      </c>
      <c r="K6" s="11" t="str">
        <f aca="false">IF(OR(H6=0,H6=4,J6=""),"",I6+J6)</f>
        <v/>
      </c>
      <c r="L6" s="7" t="str">
        <f aca="true">IF(K6="","",K6-TODAY())</f>
        <v/>
      </c>
      <c r="M6" s="7" t="str">
        <f aca="false">IF(N6&lt;&gt;"","",IF(H6=0,"Abordar (novo lead)",IF(H6=4,"Ciclo completo — decidir",IF(L6&lt;=0,"TOCAR HOJE",IF(L6&lt;=2,"Vence em breve","Aguardando")))))</f>
        <v>Abordar (novo lead)</v>
      </c>
      <c r="N6" s="9"/>
    </row>
    <row r="7" customFormat="false" ht="15" hidden="false" customHeight="false" outlineLevel="0" collapsed="false">
      <c r="A7" s="7" t="s">
        <v>33</v>
      </c>
      <c r="B7" s="7" t="s">
        <v>47</v>
      </c>
      <c r="C7" s="7" t="s">
        <v>35</v>
      </c>
      <c r="D7" s="8" t="n">
        <v>4.9</v>
      </c>
      <c r="E7" s="7" t="n">
        <v>16</v>
      </c>
      <c r="F7" s="7" t="s">
        <v>48</v>
      </c>
      <c r="G7" s="7" t="s">
        <v>37</v>
      </c>
      <c r="H7" s="9" t="n">
        <v>0</v>
      </c>
      <c r="I7" s="10"/>
      <c r="J7" s="7" t="str">
        <f aca="false">IF(H7=1,4,IF(H7=2,4,IF(H7=3,5,"")))</f>
        <v/>
      </c>
      <c r="K7" s="11" t="str">
        <f aca="false">IF(OR(H7=0,H7=4,J7=""),"",I7+J7)</f>
        <v/>
      </c>
      <c r="L7" s="7" t="str">
        <f aca="true">IF(K7="","",K7-TODAY())</f>
        <v/>
      </c>
      <c r="M7" s="7" t="str">
        <f aca="false">IF(N7&lt;&gt;"","",IF(H7=0,"Abordar (novo lead)",IF(H7=4,"Ciclo completo — decidir",IF(L7&lt;=0,"TOCAR HOJE",IF(L7&lt;=2,"Vence em breve","Aguardando")))))</f>
        <v>Abordar (novo lead)</v>
      </c>
      <c r="N7" s="9"/>
    </row>
    <row r="8" customFormat="false" ht="15" hidden="false" customHeight="false" outlineLevel="0" collapsed="false">
      <c r="A8" s="7" t="s">
        <v>33</v>
      </c>
      <c r="B8" s="7" t="s">
        <v>49</v>
      </c>
      <c r="C8" s="7" t="s">
        <v>35</v>
      </c>
      <c r="D8" s="8" t="n">
        <v>5</v>
      </c>
      <c r="E8" s="7" t="n">
        <v>15</v>
      </c>
      <c r="F8" s="7" t="s">
        <v>50</v>
      </c>
      <c r="G8" s="7" t="s">
        <v>37</v>
      </c>
      <c r="H8" s="9" t="n">
        <v>0</v>
      </c>
      <c r="I8" s="10"/>
      <c r="J8" s="7" t="str">
        <f aca="false">IF(H8=1,4,IF(H8=2,4,IF(H8=3,5,"")))</f>
        <v/>
      </c>
      <c r="K8" s="11" t="str">
        <f aca="false">IF(OR(H8=0,H8=4,J8=""),"",I8+J8)</f>
        <v/>
      </c>
      <c r="L8" s="7" t="str">
        <f aca="true">IF(K8="","",K8-TODAY())</f>
        <v/>
      </c>
      <c r="M8" s="7" t="str">
        <f aca="false">IF(N8&lt;&gt;"","",IF(H8=0,"Abordar (novo lead)",IF(H8=4,"Ciclo completo — decidir",IF(L8&lt;=0,"TOCAR HOJE",IF(L8&lt;=2,"Vence em breve","Aguardando")))))</f>
        <v>Abordar (novo lead)</v>
      </c>
      <c r="N8" s="9"/>
    </row>
    <row r="9" customFormat="false" ht="15" hidden="false" customHeight="false" outlineLevel="0" collapsed="false">
      <c r="A9" s="7" t="s">
        <v>33</v>
      </c>
      <c r="B9" s="7" t="s">
        <v>51</v>
      </c>
      <c r="C9" s="7" t="s">
        <v>35</v>
      </c>
      <c r="D9" s="8" t="n">
        <v>4.6</v>
      </c>
      <c r="E9" s="7" t="n">
        <v>15</v>
      </c>
      <c r="F9" s="7" t="s">
        <v>52</v>
      </c>
      <c r="G9" s="7" t="s">
        <v>37</v>
      </c>
      <c r="H9" s="9" t="n">
        <v>0</v>
      </c>
      <c r="I9" s="10"/>
      <c r="J9" s="7" t="str">
        <f aca="false">IF(H9=1,4,IF(H9=2,4,IF(H9=3,5,"")))</f>
        <v/>
      </c>
      <c r="K9" s="11" t="str">
        <f aca="false">IF(OR(H9=0,H9=4,J9=""),"",I9+J9)</f>
        <v/>
      </c>
      <c r="L9" s="7" t="str">
        <f aca="true">IF(K9="","",K9-TODAY())</f>
        <v/>
      </c>
      <c r="M9" s="7" t="str">
        <f aca="false">IF(N9&lt;&gt;"","",IF(H9=0,"Abordar (novo lead)",IF(H9=4,"Ciclo completo — decidir",IF(L9&lt;=0,"TOCAR HOJE",IF(L9&lt;=2,"Vence em breve","Aguardando")))))</f>
        <v>Abordar (novo lead)</v>
      </c>
      <c r="N9" s="9"/>
    </row>
    <row r="10" customFormat="false" ht="15" hidden="false" customHeight="false" outlineLevel="0" collapsed="false">
      <c r="A10" s="7" t="s">
        <v>33</v>
      </c>
      <c r="B10" s="7" t="s">
        <v>53</v>
      </c>
      <c r="C10" s="7" t="s">
        <v>35</v>
      </c>
      <c r="D10" s="8" t="n">
        <v>5</v>
      </c>
      <c r="E10" s="7" t="n">
        <v>13</v>
      </c>
      <c r="F10" s="7" t="s">
        <v>54</v>
      </c>
      <c r="G10" s="7" t="s">
        <v>37</v>
      </c>
      <c r="H10" s="9" t="n">
        <v>0</v>
      </c>
      <c r="I10" s="10"/>
      <c r="J10" s="7" t="str">
        <f aca="false">IF(H10=1,4,IF(H10=2,4,IF(H10=3,5,"")))</f>
        <v/>
      </c>
      <c r="K10" s="11" t="str">
        <f aca="false">IF(OR(H10=0,H10=4,J10=""),"",I10+J10)</f>
        <v/>
      </c>
      <c r="L10" s="7" t="str">
        <f aca="true">IF(K10="","",K10-TODAY())</f>
        <v/>
      </c>
      <c r="M10" s="7" t="str">
        <f aca="false">IF(N10&lt;&gt;"","",IF(H10=0,"Abordar (novo lead)",IF(H10=4,"Ciclo completo — decidir",IF(L10&lt;=0,"TOCAR HOJE",IF(L10&lt;=2,"Vence em breve","Aguardando")))))</f>
        <v>Abordar (novo lead)</v>
      </c>
      <c r="N10" s="9"/>
    </row>
    <row r="11" customFormat="false" ht="15" hidden="false" customHeight="false" outlineLevel="0" collapsed="false">
      <c r="A11" s="7" t="s">
        <v>33</v>
      </c>
      <c r="B11" s="7" t="s">
        <v>55</v>
      </c>
      <c r="C11" s="7" t="s">
        <v>35</v>
      </c>
      <c r="D11" s="8" t="n">
        <v>5</v>
      </c>
      <c r="E11" s="7" t="n">
        <v>11</v>
      </c>
      <c r="F11" s="7" t="s">
        <v>56</v>
      </c>
      <c r="G11" s="7" t="s">
        <v>37</v>
      </c>
      <c r="H11" s="9" t="n">
        <v>0</v>
      </c>
      <c r="I11" s="10"/>
      <c r="J11" s="7" t="str">
        <f aca="false">IF(H11=1,4,IF(H11=2,4,IF(H11=3,5,"")))</f>
        <v/>
      </c>
      <c r="K11" s="11" t="str">
        <f aca="false">IF(OR(H11=0,H11=4,J11=""),"",I11+J11)</f>
        <v/>
      </c>
      <c r="L11" s="7" t="str">
        <f aca="true">IF(K11="","",K11-TODAY())</f>
        <v/>
      </c>
      <c r="M11" s="7" t="str">
        <f aca="false">IF(N11&lt;&gt;"","",IF(H11=0,"Abordar (novo lead)",IF(H11=4,"Ciclo completo — decidir",IF(L11&lt;=0,"TOCAR HOJE",IF(L11&lt;=2,"Vence em breve","Aguardando")))))</f>
        <v/>
      </c>
      <c r="N11" s="9" t="s">
        <v>57</v>
      </c>
    </row>
    <row r="12" customFormat="false" ht="15" hidden="false" customHeight="false" outlineLevel="0" collapsed="false">
      <c r="A12" s="7" t="s">
        <v>33</v>
      </c>
      <c r="B12" s="7" t="s">
        <v>58</v>
      </c>
      <c r="C12" s="7" t="s">
        <v>35</v>
      </c>
      <c r="D12" s="8" t="n">
        <v>5</v>
      </c>
      <c r="E12" s="7" t="n">
        <v>10</v>
      </c>
      <c r="F12" s="7" t="s">
        <v>59</v>
      </c>
      <c r="G12" s="7" t="s">
        <v>60</v>
      </c>
      <c r="H12" s="9" t="n">
        <v>0</v>
      </c>
      <c r="I12" s="10"/>
      <c r="J12" s="7" t="str">
        <f aca="false">IF(H12=1,4,IF(H12=2,4,IF(H12=3,5,"")))</f>
        <v/>
      </c>
      <c r="K12" s="11" t="str">
        <f aca="false">IF(OR(H12=0,H12=4,J12=""),"",I12+J12)</f>
        <v/>
      </c>
      <c r="L12" s="7" t="str">
        <f aca="true">IF(K12="","",K12-TODAY())</f>
        <v/>
      </c>
      <c r="M12" s="7" t="str">
        <f aca="false">IF(N12&lt;&gt;"","",IF(H12=0,"Abordar (novo lead)",IF(H12=4,"Ciclo completo — decidir",IF(L12&lt;=0,"TOCAR HOJE",IF(L12&lt;=2,"Vence em breve","Aguardando")))))</f>
        <v>Abordar (novo lead)</v>
      </c>
      <c r="N12" s="9"/>
    </row>
    <row r="13" customFormat="false" ht="15" hidden="false" customHeight="false" outlineLevel="0" collapsed="false">
      <c r="A13" s="7" t="s">
        <v>33</v>
      </c>
      <c r="B13" s="7" t="s">
        <v>61</v>
      </c>
      <c r="C13" s="7" t="s">
        <v>62</v>
      </c>
      <c r="D13" s="8" t="n">
        <v>5</v>
      </c>
      <c r="E13" s="7" t="n">
        <v>9</v>
      </c>
      <c r="F13" s="7" t="s">
        <v>63</v>
      </c>
      <c r="G13" s="7" t="s">
        <v>37</v>
      </c>
      <c r="H13" s="9" t="n">
        <v>0</v>
      </c>
      <c r="I13" s="10"/>
      <c r="J13" s="7" t="str">
        <f aca="false">IF(H13=1,4,IF(H13=2,4,IF(H13=3,5,"")))</f>
        <v/>
      </c>
      <c r="K13" s="11" t="str">
        <f aca="false">IF(OR(H13=0,H13=4,J13=""),"",I13+J13)</f>
        <v/>
      </c>
      <c r="L13" s="7" t="str">
        <f aca="true">IF(K13="","",K13-TODAY())</f>
        <v/>
      </c>
      <c r="M13" s="7" t="str">
        <f aca="false">IF(N13&lt;&gt;"","",IF(H13=0,"Abordar (novo lead)",IF(H13=4,"Ciclo completo — decidir",IF(L13&lt;=0,"TOCAR HOJE",IF(L13&lt;=2,"Vence em breve","Aguardando")))))</f>
        <v/>
      </c>
      <c r="N13" s="9" t="s">
        <v>64</v>
      </c>
    </row>
    <row r="14" customFormat="false" ht="15" hidden="false" customHeight="false" outlineLevel="0" collapsed="false">
      <c r="A14" s="7" t="s">
        <v>33</v>
      </c>
      <c r="B14" s="7" t="s">
        <v>65</v>
      </c>
      <c r="C14" s="7" t="s">
        <v>62</v>
      </c>
      <c r="D14" s="8" t="n">
        <v>5</v>
      </c>
      <c r="E14" s="7" t="n">
        <v>7</v>
      </c>
      <c r="F14" s="7" t="s">
        <v>66</v>
      </c>
      <c r="G14" s="7" t="s">
        <v>37</v>
      </c>
      <c r="H14" s="9" t="n">
        <v>0</v>
      </c>
      <c r="I14" s="10"/>
      <c r="J14" s="7" t="str">
        <f aca="false">IF(H14=1,4,IF(H14=2,4,IF(H14=3,5,"")))</f>
        <v/>
      </c>
      <c r="K14" s="11" t="str">
        <f aca="false">IF(OR(H14=0,H14=4,J14=""),"",I14+J14)</f>
        <v/>
      </c>
      <c r="L14" s="7" t="str">
        <f aca="true">IF(K14="","",K14-TODAY())</f>
        <v/>
      </c>
      <c r="M14" s="7" t="str">
        <f aca="false">IF(N14&lt;&gt;"","",IF(H14=0,"Abordar (novo lead)",IF(H14=4,"Ciclo completo — decidir",IF(L14&lt;=0,"TOCAR HOJE",IF(L14&lt;=2,"Vence em breve","Aguardando")))))</f>
        <v>Abordar (novo lead)</v>
      </c>
      <c r="N14" s="9"/>
    </row>
    <row r="15" customFormat="false" ht="15" hidden="false" customHeight="false" outlineLevel="0" collapsed="false">
      <c r="A15" s="7" t="s">
        <v>33</v>
      </c>
      <c r="B15" s="7" t="s">
        <v>67</v>
      </c>
      <c r="C15" s="7" t="s">
        <v>62</v>
      </c>
      <c r="D15" s="8" t="n">
        <v>5</v>
      </c>
      <c r="E15" s="7" t="n">
        <v>6</v>
      </c>
      <c r="F15" s="7" t="s">
        <v>68</v>
      </c>
      <c r="G15" s="7" t="s">
        <v>69</v>
      </c>
      <c r="H15" s="9" t="n">
        <v>0</v>
      </c>
      <c r="I15" s="10"/>
      <c r="J15" s="7" t="str">
        <f aca="false">IF(H15=1,4,IF(H15=2,4,IF(H15=3,5,"")))</f>
        <v/>
      </c>
      <c r="K15" s="11" t="str">
        <f aca="false">IF(OR(H15=0,H15=4,J15=""),"",I15+J15)</f>
        <v/>
      </c>
      <c r="L15" s="7" t="str">
        <f aca="true">IF(K15="","",K15-TODAY())</f>
        <v/>
      </c>
      <c r="M15" s="7" t="str">
        <f aca="false">IF(N15&lt;&gt;"","",IF(H15=0,"Abordar (novo lead)",IF(H15=4,"Ciclo completo — decidir",IF(L15&lt;=0,"TOCAR HOJE",IF(L15&lt;=2,"Vence em breve","Aguardando")))))</f>
        <v>Abordar (novo lead)</v>
      </c>
      <c r="N15" s="9"/>
    </row>
    <row r="16" customFormat="false" ht="15" hidden="false" customHeight="false" outlineLevel="0" collapsed="false">
      <c r="A16" s="7" t="s">
        <v>33</v>
      </c>
      <c r="B16" s="7" t="s">
        <v>70</v>
      </c>
      <c r="C16" s="7" t="s">
        <v>62</v>
      </c>
      <c r="D16" s="8" t="n">
        <v>4.5</v>
      </c>
      <c r="E16" s="7" t="n">
        <v>6</v>
      </c>
      <c r="F16" s="7" t="s">
        <v>71</v>
      </c>
      <c r="G16" s="7" t="s">
        <v>37</v>
      </c>
      <c r="H16" s="9" t="n">
        <v>0</v>
      </c>
      <c r="I16" s="10"/>
      <c r="J16" s="7" t="str">
        <f aca="false">IF(H16=1,4,IF(H16=2,4,IF(H16=3,5,"")))</f>
        <v/>
      </c>
      <c r="K16" s="11" t="str">
        <f aca="false">IF(OR(H16=0,H16=4,J16=""),"",I16+J16)</f>
        <v/>
      </c>
      <c r="L16" s="7" t="str">
        <f aca="true">IF(K16="","",K16-TODAY())</f>
        <v/>
      </c>
      <c r="M16" s="7" t="str">
        <f aca="false">IF(N16&lt;&gt;"","",IF(H16=0,"Abordar (novo lead)",IF(H16=4,"Ciclo completo — decidir",IF(L16&lt;=0,"TOCAR HOJE",IF(L16&lt;=2,"Vence em breve","Aguardando")))))</f>
        <v>Abordar (novo lead)</v>
      </c>
      <c r="N16" s="9"/>
    </row>
    <row r="17" customFormat="false" ht="15" hidden="false" customHeight="false" outlineLevel="0" collapsed="false">
      <c r="A17" s="7" t="s">
        <v>33</v>
      </c>
      <c r="B17" s="7" t="s">
        <v>72</v>
      </c>
      <c r="C17" s="7" t="s">
        <v>62</v>
      </c>
      <c r="D17" s="8" t="n">
        <v>5</v>
      </c>
      <c r="E17" s="7" t="n">
        <v>5</v>
      </c>
      <c r="F17" s="7" t="s">
        <v>73</v>
      </c>
      <c r="G17" s="7" t="s">
        <v>37</v>
      </c>
      <c r="H17" s="9" t="n">
        <v>0</v>
      </c>
      <c r="I17" s="10"/>
      <c r="J17" s="7" t="str">
        <f aca="false">IF(H17=1,4,IF(H17=2,4,IF(H17=3,5,"")))</f>
        <v/>
      </c>
      <c r="K17" s="11" t="str">
        <f aca="false">IF(OR(H17=0,H17=4,J17=""),"",I17+J17)</f>
        <v/>
      </c>
      <c r="L17" s="7" t="str">
        <f aca="true">IF(K17="","",K17-TODAY())</f>
        <v/>
      </c>
      <c r="M17" s="7" t="str">
        <f aca="false">IF(N17&lt;&gt;"","",IF(H17=0,"Abordar (novo lead)",IF(H17=4,"Ciclo completo — decidir",IF(L17&lt;=0,"TOCAR HOJE",IF(L17&lt;=2,"Vence em breve","Aguardando")))))</f>
        <v>Abordar (novo lead)</v>
      </c>
      <c r="N17" s="9"/>
    </row>
    <row r="18" customFormat="false" ht="15" hidden="false" customHeight="false" outlineLevel="0" collapsed="false">
      <c r="A18" s="7" t="s">
        <v>33</v>
      </c>
      <c r="B18" s="7" t="s">
        <v>74</v>
      </c>
      <c r="C18" s="7" t="s">
        <v>62</v>
      </c>
      <c r="D18" s="8" t="n">
        <v>5</v>
      </c>
      <c r="E18" s="7" t="n">
        <v>4</v>
      </c>
      <c r="F18" s="7" t="s">
        <v>75</v>
      </c>
      <c r="G18" s="7" t="s">
        <v>37</v>
      </c>
      <c r="H18" s="9" t="n">
        <v>0</v>
      </c>
      <c r="I18" s="10"/>
      <c r="J18" s="7" t="str">
        <f aca="false">IF(H18=1,4,IF(H18=2,4,IF(H18=3,5,"")))</f>
        <v/>
      </c>
      <c r="K18" s="11" t="str">
        <f aca="false">IF(OR(H18=0,H18=4,J18=""),"",I18+J18)</f>
        <v/>
      </c>
      <c r="L18" s="7" t="str">
        <f aca="true">IF(K18="","",K18-TODAY())</f>
        <v/>
      </c>
      <c r="M18" s="7" t="str">
        <f aca="false">IF(N18&lt;&gt;"","",IF(H18=0,"Abordar (novo lead)",IF(H18=4,"Ciclo completo — decidir",IF(L18&lt;=0,"TOCAR HOJE",IF(L18&lt;=2,"Vence em breve","Aguardando")))))</f>
        <v>Abordar (novo lead)</v>
      </c>
      <c r="N18" s="9"/>
    </row>
    <row r="19" customFormat="false" ht="15" hidden="false" customHeight="false" outlineLevel="0" collapsed="false">
      <c r="A19" s="7" t="s">
        <v>33</v>
      </c>
      <c r="B19" s="7" t="s">
        <v>76</v>
      </c>
      <c r="C19" s="7" t="s">
        <v>62</v>
      </c>
      <c r="D19" s="8" t="n">
        <v>4.5</v>
      </c>
      <c r="E19" s="7" t="n">
        <v>4</v>
      </c>
      <c r="F19" s="7" t="s">
        <v>77</v>
      </c>
      <c r="G19" s="7" t="s">
        <v>37</v>
      </c>
      <c r="H19" s="9" t="n">
        <v>0</v>
      </c>
      <c r="I19" s="10"/>
      <c r="J19" s="7" t="str">
        <f aca="false">IF(H19=1,4,IF(H19=2,4,IF(H19=3,5,"")))</f>
        <v/>
      </c>
      <c r="K19" s="11" t="str">
        <f aca="false">IF(OR(H19=0,H19=4,J19=""),"",I19+J19)</f>
        <v/>
      </c>
      <c r="L19" s="7" t="str">
        <f aca="true">IF(K19="","",K19-TODAY())</f>
        <v/>
      </c>
      <c r="M19" s="7" t="str">
        <f aca="false">IF(N19&lt;&gt;"","",IF(H19=0,"Abordar (novo lead)",IF(H19=4,"Ciclo completo — decidir",IF(L19&lt;=0,"TOCAR HOJE",IF(L19&lt;=2,"Vence em breve","Aguardando")))))</f>
        <v>Abordar (novo lead)</v>
      </c>
      <c r="N19" s="9"/>
    </row>
    <row r="20" customFormat="false" ht="15" hidden="false" customHeight="false" outlineLevel="0" collapsed="false">
      <c r="A20" s="7" t="s">
        <v>33</v>
      </c>
      <c r="B20" s="7" t="s">
        <v>78</v>
      </c>
      <c r="C20" s="7" t="s">
        <v>62</v>
      </c>
      <c r="D20" s="8" t="n">
        <v>5</v>
      </c>
      <c r="E20" s="7" t="n">
        <v>3</v>
      </c>
      <c r="F20" s="7" t="s">
        <v>79</v>
      </c>
      <c r="G20" s="7" t="s">
        <v>37</v>
      </c>
      <c r="H20" s="9" t="n">
        <v>0</v>
      </c>
      <c r="I20" s="10"/>
      <c r="J20" s="7" t="str">
        <f aca="false">IF(H20=1,4,IF(H20=2,4,IF(H20=3,5,"")))</f>
        <v/>
      </c>
      <c r="K20" s="11" t="str">
        <f aca="false">IF(OR(H20=0,H20=4,J20=""),"",I20+J20)</f>
        <v/>
      </c>
      <c r="L20" s="7" t="str">
        <f aca="true">IF(K20="","",K20-TODAY())</f>
        <v/>
      </c>
      <c r="M20" s="7" t="str">
        <f aca="false">IF(N20&lt;&gt;"","",IF(H20=0,"Abordar (novo lead)",IF(H20=4,"Ciclo completo — decidir",IF(L20&lt;=0,"TOCAR HOJE",IF(L20&lt;=2,"Vence em breve","Aguardando")))))</f>
        <v>Abordar (novo lead)</v>
      </c>
      <c r="N20" s="9"/>
    </row>
    <row r="21" customFormat="false" ht="15" hidden="false" customHeight="false" outlineLevel="0" collapsed="false">
      <c r="A21" s="7" t="s">
        <v>33</v>
      </c>
      <c r="B21" s="7" t="s">
        <v>80</v>
      </c>
      <c r="C21" s="7" t="s">
        <v>62</v>
      </c>
      <c r="D21" s="8" t="n">
        <v>5</v>
      </c>
      <c r="E21" s="7" t="n">
        <v>3</v>
      </c>
      <c r="F21" s="7" t="s">
        <v>81</v>
      </c>
      <c r="G21" s="7" t="s">
        <v>37</v>
      </c>
      <c r="H21" s="9" t="n">
        <v>0</v>
      </c>
      <c r="I21" s="10"/>
      <c r="J21" s="7" t="str">
        <f aca="false">IF(H21=1,4,IF(H21=2,4,IF(H21=3,5,"")))</f>
        <v/>
      </c>
      <c r="K21" s="11" t="str">
        <f aca="false">IF(OR(H21=0,H21=4,J21=""),"",I21+J21)</f>
        <v/>
      </c>
      <c r="L21" s="7" t="str">
        <f aca="true">IF(K21="","",K21-TODAY())</f>
        <v/>
      </c>
      <c r="M21" s="7" t="str">
        <f aca="false">IF(N21&lt;&gt;"","",IF(H21=0,"Abordar (novo lead)",IF(H21=4,"Ciclo completo — decidir",IF(L21&lt;=0,"TOCAR HOJE",IF(L21&lt;=2,"Vence em breve","Aguardando")))))</f>
        <v>Abordar (novo lead)</v>
      </c>
      <c r="N21" s="9"/>
    </row>
    <row r="22" customFormat="false" ht="15" hidden="false" customHeight="false" outlineLevel="0" collapsed="false">
      <c r="A22" s="7" t="s">
        <v>33</v>
      </c>
      <c r="B22" s="7" t="s">
        <v>82</v>
      </c>
      <c r="C22" s="7" t="s">
        <v>83</v>
      </c>
      <c r="D22" s="8" t="n">
        <v>5</v>
      </c>
      <c r="E22" s="7" t="n">
        <v>60</v>
      </c>
      <c r="F22" s="7" t="s">
        <v>84</v>
      </c>
      <c r="G22" s="7" t="s">
        <v>37</v>
      </c>
      <c r="H22" s="9" t="n">
        <v>0</v>
      </c>
      <c r="I22" s="10"/>
      <c r="J22" s="7" t="str">
        <f aca="false">IF(H22=1,4,IF(H22=2,4,IF(H22=3,5,"")))</f>
        <v/>
      </c>
      <c r="K22" s="11" t="str">
        <f aca="false">IF(OR(H22=0,H22=4,J22=""),"",I22+J22)</f>
        <v/>
      </c>
      <c r="L22" s="7" t="str">
        <f aca="true">IF(K22="","",K22-TODAY())</f>
        <v/>
      </c>
      <c r="M22" s="7" t="str">
        <f aca="false">IF(N22&lt;&gt;"","",IF(H22=0,"Abordar (novo lead)",IF(H22=4,"Ciclo completo — decidir",IF(L22&lt;=0,"TOCAR HOJE",IF(L22&lt;=2,"Vence em breve","Aguardando")))))</f>
        <v/>
      </c>
      <c r="N22" s="9" t="s">
        <v>85</v>
      </c>
    </row>
    <row r="23" customFormat="false" ht="15" hidden="false" customHeight="false" outlineLevel="0" collapsed="false">
      <c r="A23" s="7" t="s">
        <v>33</v>
      </c>
      <c r="B23" s="7" t="s">
        <v>86</v>
      </c>
      <c r="C23" s="7" t="s">
        <v>83</v>
      </c>
      <c r="D23" s="8" t="n">
        <v>4.7</v>
      </c>
      <c r="E23" s="7" t="n">
        <v>12</v>
      </c>
      <c r="F23" s="7" t="s">
        <v>87</v>
      </c>
      <c r="G23" s="7" t="s">
        <v>37</v>
      </c>
      <c r="H23" s="9" t="n">
        <v>0</v>
      </c>
      <c r="I23" s="10"/>
      <c r="J23" s="7" t="str">
        <f aca="false">IF(H23=1,4,IF(H23=2,4,IF(H23=3,5,"")))</f>
        <v/>
      </c>
      <c r="K23" s="11" t="str">
        <f aca="false">IF(OR(H23=0,H23=4,J23=""),"",I23+J23)</f>
        <v/>
      </c>
      <c r="L23" s="7" t="str">
        <f aca="true">IF(K23="","",K23-TODAY())</f>
        <v/>
      </c>
      <c r="M23" s="7" t="str">
        <f aca="false">IF(N23&lt;&gt;"","",IF(H23=0,"Abordar (novo lead)",IF(H23=4,"Ciclo completo — decidir",IF(L23&lt;=0,"TOCAR HOJE",IF(L23&lt;=2,"Vence em breve","Aguardando")))))</f>
        <v/>
      </c>
      <c r="N23" s="9" t="s">
        <v>85</v>
      </c>
    </row>
    <row r="24" customFormat="false" ht="15" hidden="false" customHeight="false" outlineLevel="0" collapsed="false">
      <c r="A24" s="7" t="s">
        <v>33</v>
      </c>
      <c r="B24" s="7" t="s">
        <v>88</v>
      </c>
      <c r="C24" s="7" t="s">
        <v>83</v>
      </c>
      <c r="D24" s="8" t="n">
        <v>4.6</v>
      </c>
      <c r="E24" s="7" t="n">
        <v>10</v>
      </c>
      <c r="F24" s="7" t="s">
        <v>89</v>
      </c>
      <c r="G24" s="7" t="s">
        <v>37</v>
      </c>
      <c r="H24" s="9" t="n">
        <v>0</v>
      </c>
      <c r="I24" s="10"/>
      <c r="J24" s="7" t="str">
        <f aca="false">IF(H24=1,4,IF(H24=2,4,IF(H24=3,5,"")))</f>
        <v/>
      </c>
      <c r="K24" s="11" t="str">
        <f aca="false">IF(OR(H24=0,H24=4,J24=""),"",I24+J24)</f>
        <v/>
      </c>
      <c r="L24" s="7" t="str">
        <f aca="true">IF(K24="","",K24-TODAY())</f>
        <v/>
      </c>
      <c r="M24" s="7" t="str">
        <f aca="false">IF(N24&lt;&gt;"","",IF(H24=0,"Abordar (novo lead)",IF(H24=4,"Ciclo completo — decidir",IF(L24&lt;=0,"TOCAR HOJE",IF(L24&lt;=2,"Vence em breve","Aguardando")))))</f>
        <v/>
      </c>
      <c r="N24" s="9" t="s">
        <v>90</v>
      </c>
    </row>
    <row r="25" customFormat="false" ht="15" hidden="false" customHeight="false" outlineLevel="0" collapsed="false">
      <c r="A25" s="7" t="s">
        <v>33</v>
      </c>
      <c r="B25" s="7" t="s">
        <v>91</v>
      </c>
      <c r="C25" s="7" t="s">
        <v>83</v>
      </c>
      <c r="D25" s="8" t="n">
        <v>5</v>
      </c>
      <c r="E25" s="7" t="n">
        <v>3</v>
      </c>
      <c r="F25" s="7" t="s">
        <v>92</v>
      </c>
      <c r="G25" s="7" t="s">
        <v>37</v>
      </c>
      <c r="H25" s="9" t="n">
        <v>0</v>
      </c>
      <c r="I25" s="10"/>
      <c r="J25" s="7" t="str">
        <f aca="false">IF(H25=1,4,IF(H25=2,4,IF(H25=3,5,"")))</f>
        <v/>
      </c>
      <c r="K25" s="11" t="str">
        <f aca="false">IF(OR(H25=0,H25=4,J25=""),"",I25+J25)</f>
        <v/>
      </c>
      <c r="L25" s="7" t="str">
        <f aca="true">IF(K25="","",K25-TODAY())</f>
        <v/>
      </c>
      <c r="M25" s="7" t="str">
        <f aca="false">IF(N25&lt;&gt;"","",IF(H25=0,"Abordar (novo lead)",IF(H25=4,"Ciclo completo — decidir",IF(L25&lt;=0,"TOCAR HOJE",IF(L25&lt;=2,"Vence em breve","Aguardando")))))</f>
        <v/>
      </c>
      <c r="N25" s="9" t="s">
        <v>93</v>
      </c>
    </row>
    <row r="26" customFormat="false" ht="15" hidden="false" customHeight="false" outlineLevel="0" collapsed="false">
      <c r="A26" s="7" t="s">
        <v>33</v>
      </c>
      <c r="B26" s="7" t="s">
        <v>94</v>
      </c>
      <c r="C26" s="7" t="s">
        <v>83</v>
      </c>
      <c r="D26" s="8" t="n">
        <v>5</v>
      </c>
      <c r="E26" s="7" t="n">
        <v>1</v>
      </c>
      <c r="F26" s="7" t="s">
        <v>95</v>
      </c>
      <c r="G26" s="7" t="s">
        <v>37</v>
      </c>
      <c r="H26" s="9" t="n">
        <v>0</v>
      </c>
      <c r="I26" s="10"/>
      <c r="J26" s="7" t="str">
        <f aca="false">IF(H26=1,4,IF(H26=2,4,IF(H26=3,5,"")))</f>
        <v/>
      </c>
      <c r="K26" s="11" t="str">
        <f aca="false">IF(OR(H26=0,H26=4,J26=""),"",I26+J26)</f>
        <v/>
      </c>
      <c r="L26" s="7" t="str">
        <f aca="true">IF(K26="","",K26-TODAY())</f>
        <v/>
      </c>
      <c r="M26" s="7" t="str">
        <f aca="false">IF(N26&lt;&gt;"","",IF(H26=0,"Abordar (novo lead)",IF(H26=4,"Ciclo completo — decidir",IF(L26&lt;=0,"TOCAR HOJE",IF(L26&lt;=2,"Vence em breve","Aguardando")))))</f>
        <v/>
      </c>
      <c r="N26" s="9" t="s">
        <v>96</v>
      </c>
    </row>
    <row r="27" customFormat="false" ht="15" hidden="false" customHeight="false" outlineLevel="0" collapsed="false">
      <c r="A27" s="7" t="s">
        <v>33</v>
      </c>
      <c r="B27" s="7" t="s">
        <v>97</v>
      </c>
      <c r="C27" s="7" t="s">
        <v>83</v>
      </c>
      <c r="D27" s="8" t="n">
        <v>5</v>
      </c>
      <c r="E27" s="7" t="n">
        <v>37</v>
      </c>
      <c r="F27" s="7" t="s">
        <v>98</v>
      </c>
      <c r="G27" s="7" t="s">
        <v>37</v>
      </c>
      <c r="H27" s="9" t="n">
        <v>0</v>
      </c>
      <c r="I27" s="10"/>
      <c r="J27" s="7" t="str">
        <f aca="false">IF(H27=1,4,IF(H27=2,4,IF(H27=3,5,"")))</f>
        <v/>
      </c>
      <c r="K27" s="11" t="str">
        <f aca="false">IF(OR(H27=0,H27=4,J27=""),"",I27+J27)</f>
        <v/>
      </c>
      <c r="L27" s="7" t="str">
        <f aca="true">IF(K27="","",K27-TODAY())</f>
        <v/>
      </c>
      <c r="M27" s="7" t="str">
        <f aca="false">IF(N27&lt;&gt;"","",IF(H27=0,"Abordar (novo lead)",IF(H27=4,"Ciclo completo — decidir",IF(L27&lt;=0,"TOCAR HOJE",IF(L27&lt;=2,"Vence em breve","Aguardando")))))</f>
        <v/>
      </c>
      <c r="N27" s="9" t="s">
        <v>99</v>
      </c>
    </row>
    <row r="28" customFormat="false" ht="15" hidden="false" customHeight="false" outlineLevel="0" collapsed="false">
      <c r="A28" s="7" t="s">
        <v>33</v>
      </c>
      <c r="B28" s="7" t="s">
        <v>100</v>
      </c>
      <c r="C28" s="7" t="s">
        <v>83</v>
      </c>
      <c r="D28" s="8" t="n">
        <v>5</v>
      </c>
      <c r="E28" s="7" t="n">
        <v>25</v>
      </c>
      <c r="F28" s="7" t="s">
        <v>101</v>
      </c>
      <c r="G28" s="7" t="s">
        <v>37</v>
      </c>
      <c r="H28" s="9" t="n">
        <v>0</v>
      </c>
      <c r="I28" s="10"/>
      <c r="J28" s="7" t="str">
        <f aca="false">IF(H28=1,4,IF(H28=2,4,IF(H28=3,5,"")))</f>
        <v/>
      </c>
      <c r="K28" s="11" t="str">
        <f aca="false">IF(OR(H28=0,H28=4,J28=""),"",I28+J28)</f>
        <v/>
      </c>
      <c r="L28" s="7" t="str">
        <f aca="true">IF(K28="","",K28-TODAY())</f>
        <v/>
      </c>
      <c r="M28" s="7" t="str">
        <f aca="false">IF(N28&lt;&gt;"","",IF(H28=0,"Abordar (novo lead)",IF(H28=4,"Ciclo completo — decidir",IF(L28&lt;=0,"TOCAR HOJE",IF(L28&lt;=2,"Vence em breve","Aguardando")))))</f>
        <v/>
      </c>
      <c r="N28" s="9" t="s">
        <v>102</v>
      </c>
    </row>
    <row r="29" customFormat="false" ht="15" hidden="false" customHeight="false" outlineLevel="0" collapsed="false">
      <c r="A29" s="7" t="s">
        <v>33</v>
      </c>
      <c r="B29" s="7" t="s">
        <v>103</v>
      </c>
      <c r="C29" s="7" t="s">
        <v>104</v>
      </c>
      <c r="D29" s="8" t="n">
        <v>5</v>
      </c>
      <c r="E29" s="7" t="n">
        <v>1</v>
      </c>
      <c r="F29" s="7" t="s">
        <v>105</v>
      </c>
      <c r="G29" s="7" t="s">
        <v>37</v>
      </c>
      <c r="H29" s="9" t="n">
        <v>0</v>
      </c>
      <c r="I29" s="10"/>
      <c r="J29" s="7" t="str">
        <f aca="false">IF(H29=1,4,IF(H29=2,4,IF(H29=3,5,"")))</f>
        <v/>
      </c>
      <c r="K29" s="11" t="str">
        <f aca="false">IF(OR(H29=0,H29=4,J29=""),"",I29+J29)</f>
        <v/>
      </c>
      <c r="L29" s="7" t="str">
        <f aca="true">IF(K29="","",K29-TODAY())</f>
        <v/>
      </c>
      <c r="M29" s="7" t="str">
        <f aca="false">IF(N29&lt;&gt;"","",IF(H29=0,"Abordar (novo lead)",IF(H29=4,"Ciclo completo — decidir",IF(L29&lt;=0,"TOCAR HOJE",IF(L29&lt;=2,"Vence em breve","Aguardando")))))</f>
        <v/>
      </c>
      <c r="N29" s="9" t="s">
        <v>106</v>
      </c>
    </row>
    <row r="30" customFormat="false" ht="15" hidden="false" customHeight="false" outlineLevel="0" collapsed="false">
      <c r="A30" s="7" t="s">
        <v>33</v>
      </c>
      <c r="B30" s="7" t="s">
        <v>107</v>
      </c>
      <c r="C30" s="7" t="s">
        <v>104</v>
      </c>
      <c r="D30" s="8" t="n">
        <v>5</v>
      </c>
      <c r="E30" s="7" t="n">
        <v>6</v>
      </c>
      <c r="F30" s="7" t="s">
        <v>108</v>
      </c>
      <c r="G30" s="7" t="s">
        <v>37</v>
      </c>
      <c r="H30" s="9" t="n">
        <v>0</v>
      </c>
      <c r="I30" s="10"/>
      <c r="J30" s="7" t="str">
        <f aca="false">IF(H30=1,4,IF(H30=2,4,IF(H30=3,5,"")))</f>
        <v/>
      </c>
      <c r="K30" s="11" t="str">
        <f aca="false">IF(OR(H30=0,H30=4,J30=""),"",I30+J30)</f>
        <v/>
      </c>
      <c r="L30" s="7" t="str">
        <f aca="true">IF(K30="","",K30-TODAY())</f>
        <v/>
      </c>
      <c r="M30" s="7" t="str">
        <f aca="false">IF(N30&lt;&gt;"","",IF(H30=0,"Abordar (novo lead)",IF(H30=4,"Ciclo completo — decidir",IF(L30&lt;=0,"TOCAR HOJE",IF(L30&lt;=2,"Vence em breve","Aguardando")))))</f>
        <v/>
      </c>
      <c r="N30" s="9" t="s">
        <v>106</v>
      </c>
    </row>
    <row r="31" customFormat="false" ht="15" hidden="false" customHeight="false" outlineLevel="0" collapsed="false">
      <c r="A31" s="7" t="s">
        <v>33</v>
      </c>
      <c r="B31" s="7" t="s">
        <v>109</v>
      </c>
      <c r="C31" s="7" t="s">
        <v>104</v>
      </c>
      <c r="D31" s="8" t="n">
        <v>5</v>
      </c>
      <c r="E31" s="7" t="n">
        <v>40</v>
      </c>
      <c r="F31" s="7" t="s">
        <v>110</v>
      </c>
      <c r="G31" s="7" t="s">
        <v>37</v>
      </c>
      <c r="H31" s="9" t="n">
        <v>0</v>
      </c>
      <c r="I31" s="10"/>
      <c r="J31" s="7" t="str">
        <f aca="false">IF(H31=1,4,IF(H31=2,4,IF(H31=3,5,"")))</f>
        <v/>
      </c>
      <c r="K31" s="11" t="str">
        <f aca="false">IF(OR(H31=0,H31=4,J31=""),"",I31+J31)</f>
        <v/>
      </c>
      <c r="L31" s="7" t="str">
        <f aca="true">IF(K31="","",K31-TODAY())</f>
        <v/>
      </c>
      <c r="M31" s="7" t="str">
        <f aca="false">IF(N31&lt;&gt;"","",IF(H31=0,"Abordar (novo lead)",IF(H31=4,"Ciclo completo — decidir",IF(L31&lt;=0,"TOCAR HOJE",IF(L31&lt;=2,"Vence em breve","Aguardando")))))</f>
        <v/>
      </c>
      <c r="N31" s="9" t="s">
        <v>111</v>
      </c>
    </row>
    <row r="32" customFormat="false" ht="15" hidden="false" customHeight="false" outlineLevel="0" collapsed="false">
      <c r="A32" s="7" t="s">
        <v>112</v>
      </c>
      <c r="B32" s="7" t="s">
        <v>113</v>
      </c>
      <c r="C32" s="7" t="s">
        <v>35</v>
      </c>
      <c r="D32" s="8" t="n">
        <v>4.9</v>
      </c>
      <c r="E32" s="7" t="n">
        <v>73</v>
      </c>
      <c r="F32" s="7" t="s">
        <v>114</v>
      </c>
      <c r="G32" s="7" t="s">
        <v>37</v>
      </c>
      <c r="H32" s="9" t="n">
        <v>0</v>
      </c>
      <c r="I32" s="10"/>
      <c r="J32" s="7" t="str">
        <f aca="false">IF(H32=1,4,IF(H32=2,4,IF(H32=3,5,"")))</f>
        <v/>
      </c>
      <c r="K32" s="11" t="str">
        <f aca="false">IF(OR(H32=0,H32=4,J32=""),"",I32+J32)</f>
        <v/>
      </c>
      <c r="L32" s="7" t="str">
        <f aca="true">IF(K32="","",K32-TODAY())</f>
        <v/>
      </c>
      <c r="M32" s="7" t="str">
        <f aca="false">IF(N32&lt;&gt;"","",IF(H32=0,"Abordar (novo lead)",IF(H32=4,"Ciclo completo — decidir",IF(L32&lt;=0,"TOCAR HOJE",IF(L32&lt;=2,"Vence em breve","Aguardando")))))</f>
        <v>Abordar (novo lead)</v>
      </c>
      <c r="N32" s="9"/>
    </row>
    <row r="33" customFormat="false" ht="15" hidden="false" customHeight="false" outlineLevel="0" collapsed="false">
      <c r="A33" s="7" t="s">
        <v>112</v>
      </c>
      <c r="B33" s="7" t="s">
        <v>115</v>
      </c>
      <c r="C33" s="7" t="s">
        <v>35</v>
      </c>
      <c r="D33" s="8" t="n">
        <v>5</v>
      </c>
      <c r="E33" s="7" t="n">
        <v>43</v>
      </c>
      <c r="F33" s="7" t="s">
        <v>116</v>
      </c>
      <c r="G33" s="7" t="s">
        <v>37</v>
      </c>
      <c r="H33" s="9" t="n">
        <v>0</v>
      </c>
      <c r="I33" s="10"/>
      <c r="J33" s="7" t="str">
        <f aca="false">IF(H33=1,4,IF(H33=2,4,IF(H33=3,5,"")))</f>
        <v/>
      </c>
      <c r="K33" s="11" t="str">
        <f aca="false">IF(OR(H33=0,H33=4,J33=""),"",I33+J33)</f>
        <v/>
      </c>
      <c r="L33" s="7" t="str">
        <f aca="true">IF(K33="","",K33-TODAY())</f>
        <v/>
      </c>
      <c r="M33" s="7" t="str">
        <f aca="false">IF(N33&lt;&gt;"","",IF(H33=0,"Abordar (novo lead)",IF(H33=4,"Ciclo completo — decidir",IF(L33&lt;=0,"TOCAR HOJE",IF(L33&lt;=2,"Vence em breve","Aguardando")))))</f>
        <v>Abordar (novo lead)</v>
      </c>
      <c r="N33" s="9"/>
    </row>
    <row r="34" customFormat="false" ht="15" hidden="false" customHeight="false" outlineLevel="0" collapsed="false">
      <c r="A34" s="7" t="s">
        <v>112</v>
      </c>
      <c r="B34" s="7" t="s">
        <v>117</v>
      </c>
      <c r="C34" s="7" t="s">
        <v>35</v>
      </c>
      <c r="D34" s="8" t="n">
        <v>5</v>
      </c>
      <c r="E34" s="7" t="n">
        <v>39</v>
      </c>
      <c r="F34" s="7" t="s">
        <v>118</v>
      </c>
      <c r="G34" s="7" t="s">
        <v>119</v>
      </c>
      <c r="H34" s="9" t="n">
        <v>0</v>
      </c>
      <c r="I34" s="10"/>
      <c r="J34" s="7" t="str">
        <f aca="false">IF(H34=1,4,IF(H34=2,4,IF(H34=3,5,"")))</f>
        <v/>
      </c>
      <c r="K34" s="11" t="str">
        <f aca="false">IF(OR(H34=0,H34=4,J34=""),"",I34+J34)</f>
        <v/>
      </c>
      <c r="L34" s="7" t="str">
        <f aca="true">IF(K34="","",K34-TODAY())</f>
        <v/>
      </c>
      <c r="M34" s="7" t="str">
        <f aca="false">IF(N34&lt;&gt;"","",IF(H34=0,"Abordar (novo lead)",IF(H34=4,"Ciclo completo — decidir",IF(L34&lt;=0,"TOCAR HOJE",IF(L34&lt;=2,"Vence em breve","Aguardando")))))</f>
        <v>Abordar (novo lead)</v>
      </c>
      <c r="N34" s="9"/>
    </row>
    <row r="35" customFormat="false" ht="15" hidden="false" customHeight="false" outlineLevel="0" collapsed="false">
      <c r="A35" s="7" t="s">
        <v>112</v>
      </c>
      <c r="B35" s="7" t="s">
        <v>120</v>
      </c>
      <c r="C35" s="7" t="s">
        <v>35</v>
      </c>
      <c r="D35" s="8" t="n">
        <v>5</v>
      </c>
      <c r="E35" s="7" t="n">
        <v>27</v>
      </c>
      <c r="F35" s="7" t="s">
        <v>121</v>
      </c>
      <c r="G35" s="7" t="s">
        <v>37</v>
      </c>
      <c r="H35" s="9" t="n">
        <v>0</v>
      </c>
      <c r="I35" s="10"/>
      <c r="J35" s="7" t="str">
        <f aca="false">IF(H35=1,4,IF(H35=2,4,IF(H35=3,5,"")))</f>
        <v/>
      </c>
      <c r="K35" s="11" t="str">
        <f aca="false">IF(OR(H35=0,H35=4,J35=""),"",I35+J35)</f>
        <v/>
      </c>
      <c r="L35" s="7" t="str">
        <f aca="true">IF(K35="","",K35-TODAY())</f>
        <v/>
      </c>
      <c r="M35" s="7" t="str">
        <f aca="false">IF(N35&lt;&gt;"","",IF(H35=0,"Abordar (novo lead)",IF(H35=4,"Ciclo completo — decidir",IF(L35&lt;=0,"TOCAR HOJE",IF(L35&lt;=2,"Vence em breve","Aguardando")))))</f>
        <v>Abordar (novo lead)</v>
      </c>
      <c r="N35" s="9"/>
    </row>
    <row r="36" customFormat="false" ht="15" hidden="false" customHeight="false" outlineLevel="0" collapsed="false">
      <c r="A36" s="7" t="s">
        <v>112</v>
      </c>
      <c r="B36" s="7" t="s">
        <v>122</v>
      </c>
      <c r="C36" s="7" t="s">
        <v>35</v>
      </c>
      <c r="D36" s="8" t="n">
        <v>5</v>
      </c>
      <c r="E36" s="7" t="n">
        <v>21</v>
      </c>
      <c r="F36" s="7" t="s">
        <v>123</v>
      </c>
      <c r="G36" s="7" t="s">
        <v>37</v>
      </c>
      <c r="H36" s="9" t="n">
        <v>0</v>
      </c>
      <c r="I36" s="10"/>
      <c r="J36" s="7" t="str">
        <f aca="false">IF(H36=1,4,IF(H36=2,4,IF(H36=3,5,"")))</f>
        <v/>
      </c>
      <c r="K36" s="11" t="str">
        <f aca="false">IF(OR(H36=0,H36=4,J36=""),"",I36+J36)</f>
        <v/>
      </c>
      <c r="L36" s="7" t="str">
        <f aca="true">IF(K36="","",K36-TODAY())</f>
        <v/>
      </c>
      <c r="M36" s="7" t="str">
        <f aca="false">IF(N36&lt;&gt;"","",IF(H36=0,"Abordar (novo lead)",IF(H36=4,"Ciclo completo — decidir",IF(L36&lt;=0,"TOCAR HOJE",IF(L36&lt;=2,"Vence em breve","Aguardando")))))</f>
        <v>Abordar (novo lead)</v>
      </c>
      <c r="N36" s="9"/>
    </row>
    <row r="37" customFormat="false" ht="15" hidden="false" customHeight="false" outlineLevel="0" collapsed="false">
      <c r="A37" s="7" t="s">
        <v>112</v>
      </c>
      <c r="B37" s="7" t="s">
        <v>124</v>
      </c>
      <c r="C37" s="7" t="s">
        <v>35</v>
      </c>
      <c r="D37" s="8" t="n">
        <v>5</v>
      </c>
      <c r="E37" s="7" t="n">
        <v>21</v>
      </c>
      <c r="F37" s="7" t="s">
        <v>125</v>
      </c>
      <c r="G37" s="7" t="s">
        <v>37</v>
      </c>
      <c r="H37" s="9" t="n">
        <v>0</v>
      </c>
      <c r="I37" s="10"/>
      <c r="J37" s="7" t="str">
        <f aca="false">IF(H37=1,4,IF(H37=2,4,IF(H37=3,5,"")))</f>
        <v/>
      </c>
      <c r="K37" s="11" t="str">
        <f aca="false">IF(OR(H37=0,H37=4,J37=""),"",I37+J37)</f>
        <v/>
      </c>
      <c r="L37" s="7" t="str">
        <f aca="true">IF(K37="","",K37-TODAY())</f>
        <v/>
      </c>
      <c r="M37" s="7" t="str">
        <f aca="false">IF(N37&lt;&gt;"","",IF(H37=0,"Abordar (novo lead)",IF(H37=4,"Ciclo completo — decidir",IF(L37&lt;=0,"TOCAR HOJE",IF(L37&lt;=2,"Vence em breve","Aguardando")))))</f>
        <v>Abordar (novo lead)</v>
      </c>
      <c r="N37" s="9"/>
    </row>
    <row r="38" customFormat="false" ht="15" hidden="false" customHeight="false" outlineLevel="0" collapsed="false">
      <c r="A38" s="7" t="s">
        <v>112</v>
      </c>
      <c r="B38" s="7" t="s">
        <v>126</v>
      </c>
      <c r="C38" s="7" t="s">
        <v>62</v>
      </c>
      <c r="D38" s="8" t="n">
        <v>5</v>
      </c>
      <c r="E38" s="7" t="n">
        <v>7</v>
      </c>
      <c r="F38" s="7" t="s">
        <v>127</v>
      </c>
      <c r="G38" s="7" t="s">
        <v>37</v>
      </c>
      <c r="H38" s="9" t="n">
        <v>0</v>
      </c>
      <c r="I38" s="10"/>
      <c r="J38" s="7" t="str">
        <f aca="false">IF(H38=1,4,IF(H38=2,4,IF(H38=3,5,"")))</f>
        <v/>
      </c>
      <c r="K38" s="11" t="str">
        <f aca="false">IF(OR(H38=0,H38=4,J38=""),"",I38+J38)</f>
        <v/>
      </c>
      <c r="L38" s="7" t="str">
        <f aca="true">IF(K38="","",K38-TODAY())</f>
        <v/>
      </c>
      <c r="M38" s="7" t="str">
        <f aca="false">IF(N38&lt;&gt;"","",IF(H38=0,"Abordar (novo lead)",IF(H38=4,"Ciclo completo — decidir",IF(L38&lt;=0,"TOCAR HOJE",IF(L38&lt;=2,"Vence em breve","Aguardando")))))</f>
        <v>Abordar (novo lead)</v>
      </c>
      <c r="N38" s="9"/>
    </row>
    <row r="39" customFormat="false" ht="15" hidden="false" customHeight="false" outlineLevel="0" collapsed="false">
      <c r="A39" s="7" t="s">
        <v>112</v>
      </c>
      <c r="B39" s="7" t="s">
        <v>128</v>
      </c>
      <c r="C39" s="7" t="s">
        <v>62</v>
      </c>
      <c r="D39" s="8" t="n">
        <v>5</v>
      </c>
      <c r="E39" s="7" t="n">
        <v>6</v>
      </c>
      <c r="F39" s="7" t="s">
        <v>129</v>
      </c>
      <c r="G39" s="7" t="s">
        <v>37</v>
      </c>
      <c r="H39" s="9" t="n">
        <v>0</v>
      </c>
      <c r="I39" s="10"/>
      <c r="J39" s="7" t="str">
        <f aca="false">IF(H39=1,4,IF(H39=2,4,IF(H39=3,5,"")))</f>
        <v/>
      </c>
      <c r="K39" s="11" t="str">
        <f aca="false">IF(OR(H39=0,H39=4,J39=""),"",I39+J39)</f>
        <v/>
      </c>
      <c r="L39" s="7" t="str">
        <f aca="true">IF(K39="","",K39-TODAY())</f>
        <v/>
      </c>
      <c r="M39" s="7" t="str">
        <f aca="false">IF(N39&lt;&gt;"","",IF(H39=0,"Abordar (novo lead)",IF(H39=4,"Ciclo completo — decidir",IF(L39&lt;=0,"TOCAR HOJE",IF(L39&lt;=2,"Vence em breve","Aguardando")))))</f>
        <v>Abordar (novo lead)</v>
      </c>
      <c r="N39" s="9"/>
    </row>
    <row r="40" customFormat="false" ht="15" hidden="false" customHeight="false" outlineLevel="0" collapsed="false">
      <c r="A40" s="7" t="s">
        <v>112</v>
      </c>
      <c r="B40" s="7" t="s">
        <v>130</v>
      </c>
      <c r="C40" s="7" t="s">
        <v>62</v>
      </c>
      <c r="D40" s="8" t="n">
        <v>5</v>
      </c>
      <c r="E40" s="7" t="n">
        <v>5</v>
      </c>
      <c r="F40" s="7" t="s">
        <v>131</v>
      </c>
      <c r="G40" s="7" t="s">
        <v>37</v>
      </c>
      <c r="H40" s="9" t="n">
        <v>0</v>
      </c>
      <c r="I40" s="10"/>
      <c r="J40" s="7" t="str">
        <f aca="false">IF(H40=1,4,IF(H40=2,4,IF(H40=3,5,"")))</f>
        <v/>
      </c>
      <c r="K40" s="11" t="str">
        <f aca="false">IF(OR(H40=0,H40=4,J40=""),"",I40+J40)</f>
        <v/>
      </c>
      <c r="L40" s="7" t="str">
        <f aca="true">IF(K40="","",K40-TODAY())</f>
        <v/>
      </c>
      <c r="M40" s="7" t="str">
        <f aca="false">IF(N40&lt;&gt;"","",IF(H40=0,"Abordar (novo lead)",IF(H40=4,"Ciclo completo — decidir",IF(L40&lt;=0,"TOCAR HOJE",IF(L40&lt;=2,"Vence em breve","Aguardando")))))</f>
        <v>Abordar (novo lead)</v>
      </c>
      <c r="N40" s="9"/>
    </row>
    <row r="41" customFormat="false" ht="15" hidden="false" customHeight="false" outlineLevel="0" collapsed="false">
      <c r="A41" s="7" t="s">
        <v>112</v>
      </c>
      <c r="B41" s="7" t="s">
        <v>132</v>
      </c>
      <c r="C41" s="7" t="s">
        <v>83</v>
      </c>
      <c r="D41" s="8" t="n">
        <v>5</v>
      </c>
      <c r="E41" s="7" t="n">
        <v>62</v>
      </c>
      <c r="F41" s="7" t="s">
        <v>133</v>
      </c>
      <c r="G41" s="7" t="s">
        <v>37</v>
      </c>
      <c r="H41" s="9" t="n">
        <v>0</v>
      </c>
      <c r="I41" s="10"/>
      <c r="J41" s="7" t="str">
        <f aca="false">IF(H41=1,4,IF(H41=2,4,IF(H41=3,5,"")))</f>
        <v/>
      </c>
      <c r="K41" s="11" t="str">
        <f aca="false">IF(OR(H41=0,H41=4,J41=""),"",I41+J41)</f>
        <v/>
      </c>
      <c r="L41" s="7" t="str">
        <f aca="true">IF(K41="","",K41-TODAY())</f>
        <v/>
      </c>
      <c r="M41" s="7" t="str">
        <f aca="false">IF(N41&lt;&gt;"","",IF(H41=0,"Abordar (novo lead)",IF(H41=4,"Ciclo completo — decidir",IF(L41&lt;=0,"TOCAR HOJE",IF(L41&lt;=2,"Vence em breve","Aguardando")))))</f>
        <v/>
      </c>
      <c r="N41" s="9" t="s">
        <v>85</v>
      </c>
    </row>
    <row r="42" customFormat="false" ht="15" hidden="false" customHeight="false" outlineLevel="0" collapsed="false">
      <c r="A42" s="7" t="s">
        <v>112</v>
      </c>
      <c r="B42" s="7" t="s">
        <v>134</v>
      </c>
      <c r="C42" s="7" t="s">
        <v>83</v>
      </c>
      <c r="D42" s="8" t="n">
        <v>5</v>
      </c>
      <c r="E42" s="7" t="n">
        <v>54</v>
      </c>
      <c r="F42" s="7" t="s">
        <v>135</v>
      </c>
      <c r="G42" s="7" t="s">
        <v>37</v>
      </c>
      <c r="H42" s="9" t="n">
        <v>0</v>
      </c>
      <c r="I42" s="10"/>
      <c r="J42" s="7" t="str">
        <f aca="false">IF(H42=1,4,IF(H42=2,4,IF(H42=3,5,"")))</f>
        <v/>
      </c>
      <c r="K42" s="11" t="str">
        <f aca="false">IF(OR(H42=0,H42=4,J42=""),"",I42+J42)</f>
        <v/>
      </c>
      <c r="L42" s="7" t="str">
        <f aca="true">IF(K42="","",K42-TODAY())</f>
        <v/>
      </c>
      <c r="M42" s="7" t="str">
        <f aca="false">IF(N42&lt;&gt;"","",IF(H42=0,"Abordar (novo lead)",IF(H42=4,"Ciclo completo — decidir",IF(L42&lt;=0,"TOCAR HOJE",IF(L42&lt;=2,"Vence em breve","Aguardando")))))</f>
        <v/>
      </c>
      <c r="N42" s="9" t="s">
        <v>136</v>
      </c>
    </row>
    <row r="43" customFormat="false" ht="15" hidden="false" customHeight="false" outlineLevel="0" collapsed="false">
      <c r="A43" s="7" t="s">
        <v>112</v>
      </c>
      <c r="B43" s="7" t="s">
        <v>137</v>
      </c>
      <c r="C43" s="7" t="s">
        <v>83</v>
      </c>
      <c r="D43" s="8" t="n">
        <v>5</v>
      </c>
      <c r="E43" s="7" t="n">
        <v>46</v>
      </c>
      <c r="F43" s="7" t="s">
        <v>138</v>
      </c>
      <c r="G43" s="7" t="s">
        <v>60</v>
      </c>
      <c r="H43" s="9" t="n">
        <v>0</v>
      </c>
      <c r="I43" s="10"/>
      <c r="J43" s="7" t="str">
        <f aca="false">IF(H43=1,4,IF(H43=2,4,IF(H43=3,5,"")))</f>
        <v/>
      </c>
      <c r="K43" s="11" t="str">
        <f aca="false">IF(OR(H43=0,H43=4,J43=""),"",I43+J43)</f>
        <v/>
      </c>
      <c r="L43" s="7" t="str">
        <f aca="true">IF(K43="","",K43-TODAY())</f>
        <v/>
      </c>
      <c r="M43" s="7" t="str">
        <f aca="false">IF(N43&lt;&gt;"","",IF(H43=0,"Abordar (novo lead)",IF(H43=4,"Ciclo completo — decidir",IF(L43&lt;=0,"TOCAR HOJE",IF(L43&lt;=2,"Vence em breve","Aguardando")))))</f>
        <v/>
      </c>
      <c r="N43" s="9" t="s">
        <v>139</v>
      </c>
    </row>
    <row r="44" customFormat="false" ht="15" hidden="false" customHeight="false" outlineLevel="0" collapsed="false">
      <c r="A44" s="7" t="s">
        <v>112</v>
      </c>
      <c r="B44" s="7" t="s">
        <v>140</v>
      </c>
      <c r="C44" s="7" t="s">
        <v>83</v>
      </c>
      <c r="D44" s="8" t="n">
        <v>5</v>
      </c>
      <c r="E44" s="7" t="n">
        <v>40</v>
      </c>
      <c r="F44" s="7" t="s">
        <v>141</v>
      </c>
      <c r="G44" s="7" t="s">
        <v>37</v>
      </c>
      <c r="H44" s="9" t="n">
        <v>0</v>
      </c>
      <c r="I44" s="10"/>
      <c r="J44" s="7" t="str">
        <f aca="false">IF(H44=1,4,IF(H44=2,4,IF(H44=3,5,"")))</f>
        <v/>
      </c>
      <c r="K44" s="11" t="str">
        <f aca="false">IF(OR(H44=0,H44=4,J44=""),"",I44+J44)</f>
        <v/>
      </c>
      <c r="L44" s="7" t="str">
        <f aca="true">IF(K44="","",K44-TODAY())</f>
        <v/>
      </c>
      <c r="M44" s="7" t="str">
        <f aca="false">IF(N44&lt;&gt;"","",IF(H44=0,"Abordar (novo lead)",IF(H44=4,"Ciclo completo — decidir",IF(L44&lt;=0,"TOCAR HOJE",IF(L44&lt;=2,"Vence em breve","Aguardando")))))</f>
        <v/>
      </c>
      <c r="N44" s="9" t="s">
        <v>85</v>
      </c>
    </row>
    <row r="45" customFormat="false" ht="15" hidden="false" customHeight="false" outlineLevel="0" collapsed="false">
      <c r="A45" s="7" t="s">
        <v>112</v>
      </c>
      <c r="B45" s="7" t="s">
        <v>142</v>
      </c>
      <c r="C45" s="7" t="s">
        <v>83</v>
      </c>
      <c r="D45" s="8" t="n">
        <v>4.9</v>
      </c>
      <c r="E45" s="7" t="n">
        <v>34</v>
      </c>
      <c r="F45" s="7" t="s">
        <v>143</v>
      </c>
      <c r="G45" s="7" t="s">
        <v>37</v>
      </c>
      <c r="H45" s="9" t="n">
        <v>0</v>
      </c>
      <c r="I45" s="10"/>
      <c r="J45" s="7" t="str">
        <f aca="false">IF(H45=1,4,IF(H45=2,4,IF(H45=3,5,"")))</f>
        <v/>
      </c>
      <c r="K45" s="11" t="str">
        <f aca="false">IF(OR(H45=0,H45=4,J45=""),"",I45+J45)</f>
        <v/>
      </c>
      <c r="L45" s="7" t="str">
        <f aca="true">IF(K45="","",K45-TODAY())</f>
        <v/>
      </c>
      <c r="M45" s="7" t="str">
        <f aca="false">IF(N45&lt;&gt;"","",IF(H45=0,"Abordar (novo lead)",IF(H45=4,"Ciclo completo — decidir",IF(L45&lt;=0,"TOCAR HOJE",IF(L45&lt;=2,"Vence em breve","Aguardando")))))</f>
        <v/>
      </c>
      <c r="N45" s="9" t="s">
        <v>144</v>
      </c>
    </row>
    <row r="46" customFormat="false" ht="15" hidden="false" customHeight="false" outlineLevel="0" collapsed="false">
      <c r="A46" s="7" t="s">
        <v>112</v>
      </c>
      <c r="B46" s="7" t="s">
        <v>145</v>
      </c>
      <c r="C46" s="7" t="s">
        <v>83</v>
      </c>
      <c r="D46" s="8" t="n">
        <v>4.8</v>
      </c>
      <c r="E46" s="7" t="n">
        <v>22</v>
      </c>
      <c r="F46" s="7" t="s">
        <v>146</v>
      </c>
      <c r="G46" s="7" t="s">
        <v>37</v>
      </c>
      <c r="H46" s="9" t="n">
        <v>0</v>
      </c>
      <c r="I46" s="10"/>
      <c r="J46" s="7" t="str">
        <f aca="false">IF(H46=1,4,IF(H46=2,4,IF(H46=3,5,"")))</f>
        <v/>
      </c>
      <c r="K46" s="11" t="str">
        <f aca="false">IF(OR(H46=0,H46=4,J46=""),"",I46+J46)</f>
        <v/>
      </c>
      <c r="L46" s="7" t="str">
        <f aca="true">IF(K46="","",K46-TODAY())</f>
        <v/>
      </c>
      <c r="M46" s="7" t="str">
        <f aca="false">IF(N46&lt;&gt;"","",IF(H46=0,"Abordar (novo lead)",IF(H46=4,"Ciclo completo — decidir",IF(L46&lt;=0,"TOCAR HOJE",IF(L46&lt;=2,"Vence em breve","Aguardando")))))</f>
        <v/>
      </c>
      <c r="N46" s="9" t="s">
        <v>147</v>
      </c>
    </row>
    <row r="47" customFormat="false" ht="15" hidden="false" customHeight="false" outlineLevel="0" collapsed="false">
      <c r="A47" s="7" t="s">
        <v>112</v>
      </c>
      <c r="B47" s="7" t="s">
        <v>148</v>
      </c>
      <c r="C47" s="7" t="s">
        <v>83</v>
      </c>
      <c r="D47" s="8" t="n">
        <v>5</v>
      </c>
      <c r="E47" s="7" t="n">
        <v>21</v>
      </c>
      <c r="F47" s="7" t="s">
        <v>149</v>
      </c>
      <c r="G47" s="7" t="s">
        <v>37</v>
      </c>
      <c r="H47" s="9" t="n">
        <v>0</v>
      </c>
      <c r="I47" s="10"/>
      <c r="J47" s="7" t="str">
        <f aca="false">IF(H47=1,4,IF(H47=2,4,IF(H47=3,5,"")))</f>
        <v/>
      </c>
      <c r="K47" s="11" t="str">
        <f aca="false">IF(OR(H47=0,H47=4,J47=""),"",I47+J47)</f>
        <v/>
      </c>
      <c r="L47" s="7" t="str">
        <f aca="true">IF(K47="","",K47-TODAY())</f>
        <v/>
      </c>
      <c r="M47" s="7" t="str">
        <f aca="false">IF(N47&lt;&gt;"","",IF(H47=0,"Abordar (novo lead)",IF(H47=4,"Ciclo completo — decidir",IF(L47&lt;=0,"TOCAR HOJE",IF(L47&lt;=2,"Vence em breve","Aguardando")))))</f>
        <v/>
      </c>
      <c r="N47" s="9" t="s">
        <v>96</v>
      </c>
    </row>
    <row r="48" customFormat="false" ht="15" hidden="false" customHeight="false" outlineLevel="0" collapsed="false">
      <c r="A48" s="7" t="s">
        <v>112</v>
      </c>
      <c r="B48" s="7" t="s">
        <v>150</v>
      </c>
      <c r="C48" s="7" t="s">
        <v>83</v>
      </c>
      <c r="D48" s="8" t="n">
        <v>4.6</v>
      </c>
      <c r="E48" s="7" t="n">
        <v>12</v>
      </c>
      <c r="F48" s="7" t="s">
        <v>151</v>
      </c>
      <c r="G48" s="7" t="s">
        <v>37</v>
      </c>
      <c r="H48" s="9" t="n">
        <v>0</v>
      </c>
      <c r="I48" s="10"/>
      <c r="J48" s="7" t="str">
        <f aca="false">IF(H48=1,4,IF(H48=2,4,IF(H48=3,5,"")))</f>
        <v/>
      </c>
      <c r="K48" s="11" t="str">
        <f aca="false">IF(OR(H48=0,H48=4,J48=""),"",I48+J48)</f>
        <v/>
      </c>
      <c r="L48" s="7" t="str">
        <f aca="true">IF(K48="","",K48-TODAY())</f>
        <v/>
      </c>
      <c r="M48" s="7" t="str">
        <f aca="false">IF(N48&lt;&gt;"","",IF(H48=0,"Abordar (novo lead)",IF(H48=4,"Ciclo completo — decidir",IF(L48&lt;=0,"TOCAR HOJE",IF(L48&lt;=2,"Vence em breve","Aguardando")))))</f>
        <v/>
      </c>
      <c r="N48" s="9" t="s">
        <v>85</v>
      </c>
    </row>
    <row r="49" customFormat="false" ht="15" hidden="false" customHeight="false" outlineLevel="0" collapsed="false">
      <c r="A49" s="7" t="s">
        <v>112</v>
      </c>
      <c r="B49" s="7" t="s">
        <v>152</v>
      </c>
      <c r="C49" s="7" t="s">
        <v>83</v>
      </c>
      <c r="D49" s="8" t="n">
        <v>5</v>
      </c>
      <c r="E49" s="7" t="n">
        <v>12</v>
      </c>
      <c r="F49" s="7" t="s">
        <v>153</v>
      </c>
      <c r="G49" s="7" t="s">
        <v>37</v>
      </c>
      <c r="H49" s="9" t="n">
        <v>0</v>
      </c>
      <c r="I49" s="10"/>
      <c r="J49" s="7" t="str">
        <f aca="false">IF(H49=1,4,IF(H49=2,4,IF(H49=3,5,"")))</f>
        <v/>
      </c>
      <c r="K49" s="11" t="str">
        <f aca="false">IF(OR(H49=0,H49=4,J49=""),"",I49+J49)</f>
        <v/>
      </c>
      <c r="L49" s="7" t="str">
        <f aca="true">IF(K49="","",K49-TODAY())</f>
        <v/>
      </c>
      <c r="M49" s="7" t="str">
        <f aca="false">IF(N49&lt;&gt;"","",IF(H49=0,"Abordar (novo lead)",IF(H49=4,"Ciclo completo — decidir",IF(L49&lt;=0,"TOCAR HOJE",IF(L49&lt;=2,"Vence em breve","Aguardando")))))</f>
        <v/>
      </c>
      <c r="N49" s="9" t="s">
        <v>154</v>
      </c>
    </row>
    <row r="50" customFormat="false" ht="15" hidden="false" customHeight="false" outlineLevel="0" collapsed="false">
      <c r="A50" s="7" t="s">
        <v>112</v>
      </c>
      <c r="B50" s="7" t="s">
        <v>155</v>
      </c>
      <c r="C50" s="7" t="s">
        <v>83</v>
      </c>
      <c r="D50" s="8" t="n">
        <v>5</v>
      </c>
      <c r="E50" s="7" t="n">
        <v>12</v>
      </c>
      <c r="F50" s="7" t="s">
        <v>156</v>
      </c>
      <c r="G50" s="7" t="s">
        <v>37</v>
      </c>
      <c r="H50" s="9" t="n">
        <v>0</v>
      </c>
      <c r="I50" s="10"/>
      <c r="J50" s="7" t="str">
        <f aca="false">IF(H50=1,4,IF(H50=2,4,IF(H50=3,5,"")))</f>
        <v/>
      </c>
      <c r="K50" s="11" t="str">
        <f aca="false">IF(OR(H50=0,H50=4,J50=""),"",I50+J50)</f>
        <v/>
      </c>
      <c r="L50" s="7" t="str">
        <f aca="true">IF(K50="","",K50-TODAY())</f>
        <v/>
      </c>
      <c r="M50" s="7" t="str">
        <f aca="false">IF(N50&lt;&gt;"","",IF(H50=0,"Abordar (novo lead)",IF(H50=4,"Ciclo completo — decidir",IF(L50&lt;=0,"TOCAR HOJE",IF(L50&lt;=2,"Vence em breve","Aguardando")))))</f>
        <v/>
      </c>
      <c r="N50" s="9" t="s">
        <v>157</v>
      </c>
    </row>
    <row r="51" customFormat="false" ht="15" hidden="false" customHeight="false" outlineLevel="0" collapsed="false">
      <c r="A51" s="7" t="s">
        <v>112</v>
      </c>
      <c r="B51" s="7" t="s">
        <v>158</v>
      </c>
      <c r="C51" s="7" t="s">
        <v>83</v>
      </c>
      <c r="D51" s="8" t="n">
        <v>4.5</v>
      </c>
      <c r="E51" s="7" t="n">
        <v>11</v>
      </c>
      <c r="F51" s="7" t="s">
        <v>159</v>
      </c>
      <c r="G51" s="7" t="s">
        <v>37</v>
      </c>
      <c r="H51" s="9" t="n">
        <v>0</v>
      </c>
      <c r="I51" s="10"/>
      <c r="J51" s="7" t="str">
        <f aca="false">IF(H51=1,4,IF(H51=2,4,IF(H51=3,5,"")))</f>
        <v/>
      </c>
      <c r="K51" s="11" t="str">
        <f aca="false">IF(OR(H51=0,H51=4,J51=""),"",I51+J51)</f>
        <v/>
      </c>
      <c r="L51" s="7" t="str">
        <f aca="true">IF(K51="","",K51-TODAY())</f>
        <v/>
      </c>
      <c r="M51" s="7" t="str">
        <f aca="false">IF(N51&lt;&gt;"","",IF(H51=0,"Abordar (novo lead)",IF(H51=4,"Ciclo completo — decidir",IF(L51&lt;=0,"TOCAR HOJE",IF(L51&lt;=2,"Vence em breve","Aguardando")))))</f>
        <v/>
      </c>
      <c r="N51" s="9" t="s">
        <v>85</v>
      </c>
    </row>
    <row r="52" customFormat="false" ht="15" hidden="false" customHeight="false" outlineLevel="0" collapsed="false">
      <c r="A52" s="7" t="s">
        <v>112</v>
      </c>
      <c r="B52" s="7" t="s">
        <v>160</v>
      </c>
      <c r="C52" s="7" t="s">
        <v>83</v>
      </c>
      <c r="D52" s="8" t="n">
        <v>4.8</v>
      </c>
      <c r="E52" s="7" t="n">
        <v>9</v>
      </c>
      <c r="F52" s="7" t="s">
        <v>161</v>
      </c>
      <c r="G52" s="7" t="s">
        <v>37</v>
      </c>
      <c r="H52" s="9" t="n">
        <v>0</v>
      </c>
      <c r="I52" s="10"/>
      <c r="J52" s="7" t="str">
        <f aca="false">IF(H52=1,4,IF(H52=2,4,IF(H52=3,5,"")))</f>
        <v/>
      </c>
      <c r="K52" s="11" t="str">
        <f aca="false">IF(OR(H52=0,H52=4,J52=""),"",I52+J52)</f>
        <v/>
      </c>
      <c r="L52" s="7" t="str">
        <f aca="true">IF(K52="","",K52-TODAY())</f>
        <v/>
      </c>
      <c r="M52" s="7" t="str">
        <f aca="false">IF(N52&lt;&gt;"","",IF(H52=0,"Abordar (novo lead)",IF(H52=4,"Ciclo completo — decidir",IF(L52&lt;=0,"TOCAR HOJE",IF(L52&lt;=2,"Vence em breve","Aguardando")))))</f>
        <v/>
      </c>
      <c r="N52" s="9" t="s">
        <v>85</v>
      </c>
    </row>
    <row r="53" customFormat="false" ht="15" hidden="false" customHeight="false" outlineLevel="0" collapsed="false">
      <c r="A53" s="7" t="s">
        <v>112</v>
      </c>
      <c r="B53" s="7" t="s">
        <v>162</v>
      </c>
      <c r="C53" s="7" t="s">
        <v>83</v>
      </c>
      <c r="D53" s="8" t="n">
        <v>4.5</v>
      </c>
      <c r="E53" s="7" t="n">
        <v>6</v>
      </c>
      <c r="F53" s="7" t="s">
        <v>163</v>
      </c>
      <c r="G53" s="7" t="s">
        <v>37</v>
      </c>
      <c r="H53" s="9" t="n">
        <v>0</v>
      </c>
      <c r="I53" s="10"/>
      <c r="J53" s="7" t="str">
        <f aca="false">IF(H53=1,4,IF(H53=2,4,IF(H53=3,5,"")))</f>
        <v/>
      </c>
      <c r="K53" s="11" t="str">
        <f aca="false">IF(OR(H53=0,H53=4,J53=""),"",I53+J53)</f>
        <v/>
      </c>
      <c r="L53" s="7" t="str">
        <f aca="true">IF(K53="","",K53-TODAY())</f>
        <v/>
      </c>
      <c r="M53" s="7" t="str">
        <f aca="false">IF(N53&lt;&gt;"","",IF(H53=0,"Abordar (novo lead)",IF(H53=4,"Ciclo completo — decidir",IF(L53&lt;=0,"TOCAR HOJE",IF(L53&lt;=2,"Vence em breve","Aguardando")))))</f>
        <v/>
      </c>
      <c r="N53" s="9" t="s">
        <v>164</v>
      </c>
    </row>
    <row r="54" customFormat="false" ht="15" hidden="false" customHeight="false" outlineLevel="0" collapsed="false">
      <c r="A54" s="7" t="s">
        <v>112</v>
      </c>
      <c r="B54" s="7" t="s">
        <v>165</v>
      </c>
      <c r="C54" s="7" t="s">
        <v>83</v>
      </c>
      <c r="D54" s="8" t="n">
        <v>5</v>
      </c>
      <c r="E54" s="7" t="n">
        <v>5</v>
      </c>
      <c r="F54" s="7" t="s">
        <v>166</v>
      </c>
      <c r="G54" s="7" t="s">
        <v>37</v>
      </c>
      <c r="H54" s="9" t="n">
        <v>0</v>
      </c>
      <c r="I54" s="10"/>
      <c r="J54" s="7" t="str">
        <f aca="false">IF(H54=1,4,IF(H54=2,4,IF(H54=3,5,"")))</f>
        <v/>
      </c>
      <c r="K54" s="11" t="str">
        <f aca="false">IF(OR(H54=0,H54=4,J54=""),"",I54+J54)</f>
        <v/>
      </c>
      <c r="L54" s="7" t="str">
        <f aca="true">IF(K54="","",K54-TODAY())</f>
        <v/>
      </c>
      <c r="M54" s="7" t="str">
        <f aca="false">IF(N54&lt;&gt;"","",IF(H54=0,"Abordar (novo lead)",IF(H54=4,"Ciclo completo — decidir",IF(L54&lt;=0,"TOCAR HOJE",IF(L54&lt;=2,"Vence em breve","Aguardando")))))</f>
        <v/>
      </c>
      <c r="N54" s="9" t="s">
        <v>85</v>
      </c>
    </row>
    <row r="55" customFormat="false" ht="15" hidden="false" customHeight="false" outlineLevel="0" collapsed="false">
      <c r="A55" s="7" t="s">
        <v>112</v>
      </c>
      <c r="B55" s="7" t="s">
        <v>167</v>
      </c>
      <c r="C55" s="7" t="s">
        <v>83</v>
      </c>
      <c r="D55" s="8" t="n">
        <v>5</v>
      </c>
      <c r="E55" s="7" t="n">
        <v>5</v>
      </c>
      <c r="F55" s="7" t="s">
        <v>168</v>
      </c>
      <c r="G55" s="7" t="s">
        <v>37</v>
      </c>
      <c r="H55" s="9" t="n">
        <v>0</v>
      </c>
      <c r="I55" s="10"/>
      <c r="J55" s="7" t="str">
        <f aca="false">IF(H55=1,4,IF(H55=2,4,IF(H55=3,5,"")))</f>
        <v/>
      </c>
      <c r="K55" s="11" t="str">
        <f aca="false">IF(OR(H55=0,H55=4,J55=""),"",I55+J55)</f>
        <v/>
      </c>
      <c r="L55" s="7" t="str">
        <f aca="true">IF(K55="","",K55-TODAY())</f>
        <v/>
      </c>
      <c r="M55" s="7" t="str">
        <f aca="false">IF(N55&lt;&gt;"","",IF(H55=0,"Abordar (novo lead)",IF(H55=4,"Ciclo completo — decidir",IF(L55&lt;=0,"TOCAR HOJE",IF(L55&lt;=2,"Vence em breve","Aguardando")))))</f>
        <v/>
      </c>
      <c r="N55" s="9" t="s">
        <v>96</v>
      </c>
    </row>
    <row r="56" customFormat="false" ht="15" hidden="false" customHeight="false" outlineLevel="0" collapsed="false">
      <c r="A56" s="7" t="s">
        <v>112</v>
      </c>
      <c r="B56" s="7" t="s">
        <v>169</v>
      </c>
      <c r="C56" s="7" t="s">
        <v>83</v>
      </c>
      <c r="D56" s="8" t="n">
        <v>4.5</v>
      </c>
      <c r="E56" s="7" t="n">
        <v>4</v>
      </c>
      <c r="F56" s="7" t="s">
        <v>170</v>
      </c>
      <c r="G56" s="7" t="s">
        <v>37</v>
      </c>
      <c r="H56" s="9" t="n">
        <v>0</v>
      </c>
      <c r="I56" s="10"/>
      <c r="J56" s="7" t="str">
        <f aca="false">IF(H56=1,4,IF(H56=2,4,IF(H56=3,5,"")))</f>
        <v/>
      </c>
      <c r="K56" s="11" t="str">
        <f aca="false">IF(OR(H56=0,H56=4,J56=""),"",I56+J56)</f>
        <v/>
      </c>
      <c r="L56" s="7" t="str">
        <f aca="true">IF(K56="","",K56-TODAY())</f>
        <v/>
      </c>
      <c r="M56" s="7" t="str">
        <f aca="false">IF(N56&lt;&gt;"","",IF(H56=0,"Abordar (novo lead)",IF(H56=4,"Ciclo completo — decidir",IF(L56&lt;=0,"TOCAR HOJE",IF(L56&lt;=2,"Vence em breve","Aguardando")))))</f>
        <v/>
      </c>
      <c r="N56" s="9" t="s">
        <v>85</v>
      </c>
    </row>
    <row r="57" customFormat="false" ht="15" hidden="false" customHeight="false" outlineLevel="0" collapsed="false">
      <c r="A57" s="7" t="s">
        <v>112</v>
      </c>
      <c r="B57" s="7" t="s">
        <v>171</v>
      </c>
      <c r="C57" s="7" t="s">
        <v>104</v>
      </c>
      <c r="D57" s="8" t="n">
        <v>5</v>
      </c>
      <c r="E57" s="7" t="n">
        <v>23</v>
      </c>
      <c r="F57" s="7" t="s">
        <v>172</v>
      </c>
      <c r="G57" s="7" t="s">
        <v>37</v>
      </c>
      <c r="H57" s="9" t="n">
        <v>0</v>
      </c>
      <c r="I57" s="10"/>
      <c r="J57" s="7" t="str">
        <f aca="false">IF(H57=1,4,IF(H57=2,4,IF(H57=3,5,"")))</f>
        <v/>
      </c>
      <c r="K57" s="11" t="str">
        <f aca="false">IF(OR(H57=0,H57=4,J57=""),"",I57+J57)</f>
        <v/>
      </c>
      <c r="L57" s="7" t="str">
        <f aca="true">IF(K57="","",K57-TODAY())</f>
        <v/>
      </c>
      <c r="M57" s="7" t="str">
        <f aca="false">IF(N57&lt;&gt;"","",IF(H57=0,"Abordar (novo lead)",IF(H57=4,"Ciclo completo — decidir",IF(L57&lt;=0,"TOCAR HOJE",IF(L57&lt;=2,"Vence em breve","Aguardando")))))</f>
        <v/>
      </c>
      <c r="N57" s="9" t="s">
        <v>173</v>
      </c>
    </row>
  </sheetData>
  <autoFilter ref="A1:N1"/>
  <conditionalFormatting sqref="A2:N57">
    <cfRule type="expression" priority="2" aboveAverage="0" equalAverage="0" bottom="0" percent="0" rank="0" text="" dxfId="2">
      <formula>$M2="TOCAR HOJE"</formula>
    </cfRule>
    <cfRule type="expression" priority="3" aboveAverage="0" equalAverage="0" bottom="0" percent="0" rank="0" text="" dxfId="3">
      <formula>$M2="Vence em breve"</formula>
    </cfRule>
    <cfRule type="expression" priority="4" aboveAverage="0" equalAverage="0" bottom="0" percent="0" rank="0" text="" dxfId="4">
      <formula>$M2="Abordar (novo lead)"</formula>
    </cfRule>
    <cfRule type="expression" priority="5" aboveAverage="0" equalAverage="0" bottom="0" percent="0" rank="0" text="" dxfId="5">
      <formula>$N2="fechou"</formula>
    </cfRule>
  </conditionalFormatting>
  <dataValidations count="1">
    <dataValidation allowBlank="true" errorStyle="stop" operator="between" showDropDown="false" showErrorMessage="false" showInputMessage="false" sqref="H2:H57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2026-08-26T01:44:52Z</dcterms:created>
  <dc:creator>openpyxl</dc:creator>
  <dc:description/>
  <dc:language>en-US</dc:language>
  <cp:lastModifiedBy/>
  <dcterms:modified xsi:type="dcterms:W3CDTF">2026-08-26T01:44:52Z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